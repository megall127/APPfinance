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Controle 2026" sheetId="2" r:id="rId6"/>
  </sheets>
  <definedNames/>
  <calcPr/>
</workbook>
</file>

<file path=xl/sharedStrings.xml><?xml version="1.0" encoding="utf-8"?>
<sst xmlns="http://schemas.openxmlformats.org/spreadsheetml/2006/main" count="319" uniqueCount="97">
  <si>
    <t xml:space="preserve">Planilha de custos </t>
  </si>
  <si>
    <t>Item</t>
  </si>
  <si>
    <t>Valores</t>
  </si>
  <si>
    <t>Novo controle</t>
  </si>
  <si>
    <t>Salário Leandro</t>
  </si>
  <si>
    <t>Veja a aba “Controle 2026” para marcar Pago/Pendente e acompanhar o saldo restante.</t>
  </si>
  <si>
    <t>Salario Malu</t>
  </si>
  <si>
    <t xml:space="preserve">    </t>
  </si>
  <si>
    <t>Total</t>
  </si>
  <si>
    <r>
      <rPr>
        <rFont val="Calibri,Arial"/>
        <color rgb="FFFFFFFF"/>
        <sz val="11.0"/>
      </rPr>
      <t>Planilha de custos/</t>
    </r>
    <r>
      <rPr>
        <rFont val="Calibri,Arial"/>
        <i/>
        <color rgb="FFFFFFFF"/>
        <sz val="11.0"/>
      </rPr>
      <t xml:space="preserve">mês </t>
    </r>
    <r>
      <rPr>
        <rFont val="Calibri,Arial"/>
        <b/>
        <color rgb="FFFFFFFF"/>
        <sz val="11.0"/>
      </rPr>
      <t>2026</t>
    </r>
  </si>
  <si>
    <t xml:space="preserve"> 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</si>
  <si>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</si>
  <si>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</si>
  <si>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</si>
  <si>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</si>
  <si>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</si>
  <si>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</si>
  <si>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</si>
  <si>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</si>
  <si>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</si>
  <si>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</si>
  <si>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</si>
  <si>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</si>
  <si>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Fixos cartão de crédito</t>
  </si>
  <si>
    <t>magazine (dívida parcelada)</t>
  </si>
  <si>
    <t>Amazon Prime</t>
  </si>
  <si>
    <t>Internet</t>
  </si>
  <si>
    <t>Celular</t>
  </si>
  <si>
    <t>Condomínio + água + taxa extra</t>
  </si>
  <si>
    <t>Microsoft</t>
  </si>
  <si>
    <t>Gás</t>
  </si>
  <si>
    <t>Netflix</t>
  </si>
  <si>
    <t>Luz</t>
  </si>
  <si>
    <t>Computador</t>
  </si>
  <si>
    <t>MEI</t>
  </si>
  <si>
    <t>60(guardado BB)</t>
  </si>
  <si>
    <t>65 (guardado bb)</t>
  </si>
  <si>
    <t>Gasolina</t>
  </si>
  <si>
    <t>Faculdade Leandro</t>
  </si>
  <si>
    <t>Controle Xbox</t>
  </si>
  <si>
    <t>Linda</t>
  </si>
  <si>
    <t xml:space="preserve">Celular </t>
  </si>
  <si>
    <t>Plano de Saude Nosso</t>
  </si>
  <si>
    <t>Plano de saúde Linda</t>
  </si>
  <si>
    <t>x</t>
  </si>
  <si>
    <t>Panela</t>
  </si>
  <si>
    <t>Cartão</t>
  </si>
  <si>
    <t>NFs</t>
  </si>
  <si>
    <t>441(guardado BB)</t>
  </si>
  <si>
    <t xml:space="preserve">441 (guardado bb) </t>
  </si>
  <si>
    <t>Aluguel Linda</t>
  </si>
  <si>
    <t>Empréstimo Nubank</t>
  </si>
  <si>
    <r>
      <rPr>
        <rFont val="Calibri,Arial"/>
        <color rgb="FFFFFFFF"/>
        <sz val="11.0"/>
      </rPr>
      <t>Planilha de custos/</t>
    </r>
    <r>
      <rPr>
        <rFont val="Calibri,Arial"/>
        <i/>
        <color rgb="FFFFFFFF"/>
        <sz val="11.0"/>
      </rPr>
      <t xml:space="preserve">mês </t>
    </r>
    <r>
      <rPr>
        <rFont val="Calibri,Arial"/>
        <b/>
        <color rgb="FFFFFFFF"/>
        <sz val="11.0"/>
      </rPr>
      <t>2025</t>
    </r>
  </si>
  <si>
    <t>56 (guardado BB)</t>
  </si>
  <si>
    <t>-</t>
  </si>
  <si>
    <t>Parcela lote</t>
  </si>
  <si>
    <t>IPTU</t>
  </si>
  <si>
    <t xml:space="preserve">   </t>
  </si>
  <si>
    <r>
      <rPr>
        <rFont val="Calibri,Arial"/>
        <color rgb="FFFFFFFF"/>
        <sz val="11.0"/>
      </rPr>
      <t>Planilha de custos/</t>
    </r>
    <r>
      <rPr>
        <rFont val="Calibri,Arial"/>
        <i/>
        <color rgb="FFFFFFFF"/>
        <sz val="11.0"/>
      </rPr>
      <t xml:space="preserve">mês </t>
    </r>
    <r>
      <rPr>
        <rFont val="Calibri,Arial"/>
        <b/>
        <color rgb="FFFFFFFF"/>
        <sz val="11.0"/>
      </rPr>
      <t>2024</t>
    </r>
  </si>
  <si>
    <t>Limpeza</t>
  </si>
  <si>
    <t xml:space="preserve"> R$  500,00 </t>
  </si>
  <si>
    <t xml:space="preserve"> R$  125,05 </t>
  </si>
  <si>
    <t>233,67</t>
  </si>
  <si>
    <t>TV</t>
  </si>
  <si>
    <t>50 guardado bb</t>
  </si>
  <si>
    <t>Keke</t>
  </si>
  <si>
    <t>Nutri malu</t>
  </si>
  <si>
    <t>guardado no bb (250)</t>
  </si>
  <si>
    <t>Inglês</t>
  </si>
  <si>
    <r>
      <rPr>
        <rFont val="Calibri"/>
        <color rgb="FFFFFFFF"/>
        <sz val="11.0"/>
      </rPr>
      <t>Planilha de custos/</t>
    </r>
    <r>
      <rPr>
        <rFont val="Calibri"/>
        <i/>
        <color rgb="FFFFFFFF"/>
        <sz val="11.0"/>
      </rPr>
      <t>mês 2023</t>
    </r>
  </si>
  <si>
    <t>Anel</t>
  </si>
  <si>
    <t>Microondas (10x)</t>
  </si>
  <si>
    <t>Condomínio + água + gás + taxa extra</t>
  </si>
  <si>
    <t xml:space="preserve">          </t>
  </si>
  <si>
    <t>Poupança</t>
  </si>
  <si>
    <t xml:space="preserve">Castração </t>
  </si>
  <si>
    <t>pagamento pc Davi</t>
  </si>
  <si>
    <t>12/01 175,00</t>
  </si>
  <si>
    <t>20/01  175,00</t>
  </si>
  <si>
    <t>02/02 185,00</t>
  </si>
  <si>
    <t>25/02 350,00</t>
  </si>
  <si>
    <t>Controle de contas 2026 - com saldo restante</t>
  </si>
  <si>
    <t>Status por mês</t>
  </si>
  <si>
    <t>Atualize o status em “Pago/Pendente”. Quando marcar Pago, o valor sai automaticamente do restante do mês.</t>
  </si>
  <si>
    <t>Use a lista suspensa: Pago ou Pendente. Os verdes da planilha original foram importados como Pago.</t>
  </si>
  <si>
    <t>Valor base</t>
  </si>
  <si>
    <t>Pago</t>
  </si>
  <si>
    <t>65 (GUARDADO BB)</t>
  </si>
  <si>
    <t>Pendente</t>
  </si>
  <si>
    <t>Emprestimo Nubank</t>
  </si>
  <si>
    <t>Resumo mensal</t>
  </si>
  <si>
    <t>Total do mês</t>
  </si>
  <si>
    <t>Já pago</t>
  </si>
  <si>
    <t>Falta pagar</t>
  </si>
  <si>
    <t>% pago</t>
  </si>
  <si>
    <t>Mês</t>
  </si>
  <si>
    <t>Restante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</si>
</sst>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[$R$ -416]#,##0.00"/>
    <numFmt numFmtId="166" formatCode="R$ #,##0.00"/>
  </numFmts>
  <fonts count="35">
    <font>
      <sz val="10.0"/>
      <color rgb="FF000000"/>
      <name val="Arial"/>
      <scheme val="minor"/>
    </font>
    <font>
      <sz val="11.0"/>
      <color rgb="FFFFFFFF"/>
      <name val="Calibri"/>
    </font>
    <font/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b/>
      <sz val="10.0"/>
      <color rgb="FFFFFFFF"/>
      <name val="Arial"/>
    </font>
    <font>
      <sz val="11.0"/>
      <color rgb="FFFF9900"/>
      <name val="Calibri"/>
    </font>
    <font>
      <sz val="10.0"/>
      <color rgb="FF000000"/>
      <name val="Arial"/>
    </font>
    <font>
      <b/>
      <color theme="1"/>
      <name val="Arial"/>
    </font>
    <font>
      <color rgb="FF6AA84F"/>
      <name val="Arial"/>
    </font>
    <font>
      <color rgb="FFE69138"/>
      <name val="Arial"/>
    </font>
    <font>
      <sz val="11.0"/>
      <color rgb="FF6AA84F"/>
      <name val="Calibri"/>
    </font>
    <font>
      <color rgb="FF34A853"/>
      <name val="Arial"/>
    </font>
    <font>
      <color rgb="FFFF9900"/>
      <name val="Arial"/>
    </font>
    <font>
      <color rgb="FFF6B26B"/>
      <name val="Arial"/>
    </font>
    <font>
      <color rgb="FF000000"/>
      <name val="Arial"/>
    </font>
    <font>
      <color rgb="FF38761D"/>
      <name val="Arial"/>
    </font>
    <font>
      <color rgb="FFFF00FF"/>
      <name val="Arial"/>
    </font>
    <font>
      <sz val="11.0"/>
      <color rgb="FF34A853"/>
      <name val="Calibri"/>
    </font>
    <font>
      <sz val="11.0"/>
      <color rgb="FF38761D"/>
      <name val="Calibri"/>
    </font>
    <font>
      <color theme="7"/>
      <name val="Arial"/>
    </font>
    <font>
      <sz val="11.0"/>
      <color theme="7"/>
      <name val="Calibri"/>
    </font>
    <font>
      <sz val="11.0"/>
      <color rgb="FF93C47D"/>
      <name val="Calibri"/>
    </font>
    <font>
      <color rgb="FFFFFFFF"/>
      <name val="Arial"/>
    </font>
    <font>
      <i/>
      <sz val="10.0"/>
      <color rgb="FF000000"/>
      <name val="Arial"/>
    </font>
    <font>
      <b/>
      <sz val="10.0"/>
      <color rgb="FF000000"/>
      <name val="Arial"/>
    </font>
    <font>
      <sz val="10.0"/>
      <color rgb="FF0F766E"/>
      <name val="Arial"/>
    </font>
    <font>
      <color theme="1"/>
      <name val="Arial"/>
      <scheme val="minor"/>
    </font>
    <font>
      <color rgb="FF166534"/>
      <name val="Arial"/>
    </font>
    <font>
      <sz val="10.0"/>
      <color rgb="FF166534"/>
      <name val="Arial"/>
    </font>
    <font>
      <sz val="10.0"/>
      <color rgb="FF6AA84F"/>
      <name val="Arial"/>
    </font>
    <font>
      <b/>
      <sz val="10.0"/>
      <color rgb="FF166534"/>
      <name val="Arial"/>
    </font>
    <font>
      <b/>
      <sz val="10.0"/>
      <color rgb="FF991B1B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F766E"/>
        <bgColor rgb="FF0F766E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E5E7EB"/>
        <bgColor rgb="FFE5E7EB"/>
      </patternFill>
    </fill>
    <fill>
      <patternFill patternType="solid">
        <fgColor rgb="FF111827"/>
        <bgColor rgb="FF111827"/>
      </patternFill>
    </fill>
    <fill>
      <patternFill patternType="solid">
        <fgColor rgb="FFB6D7A8"/>
        <bgColor rgb="FFB6D7A8"/>
      </patternFill>
    </fill>
    <fill>
      <patternFill patternType="solid">
        <fgColor rgb="FFDCFCE7"/>
        <bgColor rgb="FFDCFCE7"/>
      </patternFill>
    </fill>
    <fill>
      <patternFill patternType="solid">
        <fgColor rgb="FF93C47D"/>
        <bgColor rgb="FF93C47D"/>
      </patternFill>
    </fill>
    <fill>
      <patternFill patternType="solid">
        <fgColor rgb="FFFEE2E2"/>
        <bgColor rgb="FFFEE2E2"/>
      </patternFill>
    </fill>
  </fills>
  <borders count="1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top style="thin">
        <color rgb="FFD1D5DB"/>
      </top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0" fillId="0" fontId="4" numFmtId="0" xfId="0" applyFont="1"/>
    <xf borderId="3" fillId="3" fontId="5" numFmtId="0" xfId="0" applyAlignment="1" applyBorder="1" applyFill="1" applyFont="1">
      <alignment horizontal="center" vertical="bottom"/>
    </xf>
    <xf borderId="2" fillId="3" fontId="5" numFmtId="0" xfId="0" applyAlignment="1" applyBorder="1" applyFont="1">
      <alignment horizontal="center" vertical="bottom"/>
    </xf>
    <xf borderId="0" fillId="4" fontId="5" numFmtId="0" xfId="0" applyAlignment="1" applyFill="1" applyFont="1">
      <alignment horizontal="center" vertical="bottom"/>
    </xf>
    <xf borderId="0" fillId="4" fontId="3" numFmtId="0" xfId="0" applyAlignment="1" applyFont="1">
      <alignment horizontal="right" vertical="bottom"/>
    </xf>
    <xf borderId="0" fillId="4" fontId="6" numFmtId="0" xfId="0" applyAlignment="1" applyFont="1">
      <alignment horizontal="right" vertical="bottom"/>
    </xf>
    <xf borderId="0" fillId="4" fontId="1" numFmtId="0" xfId="0" applyAlignment="1" applyFont="1">
      <alignment horizontal="center" vertical="bottom"/>
    </xf>
    <xf borderId="0" fillId="4" fontId="4" numFmtId="0" xfId="0" applyFont="1"/>
    <xf borderId="0" fillId="5" fontId="7" numFmtId="0" xfId="0" applyAlignment="1" applyFill="1" applyFont="1">
      <alignment horizontal="center" shrinkToFit="0" vertical="bottom" wrapText="0"/>
    </xf>
    <xf borderId="3" fillId="6" fontId="3" numFmtId="0" xfId="0" applyAlignment="1" applyBorder="1" applyFill="1" applyFont="1">
      <alignment vertical="bottom"/>
    </xf>
    <xf borderId="2" fillId="7" fontId="8" numFmtId="164" xfId="0" applyAlignment="1" applyBorder="1" applyFill="1" applyFont="1" applyNumberFormat="1">
      <alignment horizontal="right" vertical="bottom"/>
    </xf>
    <xf borderId="0" fillId="4" fontId="3" numFmtId="164" xfId="0" applyAlignment="1" applyFont="1" applyNumberFormat="1">
      <alignment horizontal="left" vertical="bottom"/>
    </xf>
    <xf borderId="0" fillId="4" fontId="5" numFmtId="164" xfId="0" applyAlignment="1" applyFont="1" applyNumberFormat="1">
      <alignment horizontal="left" vertical="bottom"/>
    </xf>
    <xf borderId="0" fillId="4" fontId="3" numFmtId="164" xfId="0" applyAlignment="1" applyFont="1" applyNumberFormat="1">
      <alignment horizontal="right" vertical="bottom"/>
    </xf>
    <xf borderId="0" fillId="4" fontId="5" numFmtId="0" xfId="0" applyAlignment="1" applyFont="1">
      <alignment horizontal="right" vertical="bottom"/>
    </xf>
    <xf borderId="0" fillId="8" fontId="9" numFmtId="0" xfId="0" applyAlignment="1" applyFill="1" applyFont="1">
      <alignment shrinkToFit="0" vertical="bottom" wrapText="1"/>
    </xf>
    <xf borderId="0" fillId="4" fontId="3" numFmtId="0" xfId="0" applyAlignment="1" applyFont="1">
      <alignment vertical="bottom"/>
    </xf>
    <xf borderId="0" fillId="4" fontId="8" numFmtId="164" xfId="0" applyAlignment="1" applyFont="1" applyNumberFormat="1">
      <alignment horizontal="right" vertical="bottom"/>
    </xf>
    <xf borderId="3" fillId="6" fontId="5" numFmtId="0" xfId="0" applyAlignment="1" applyBorder="1" applyFont="1">
      <alignment vertical="bottom"/>
    </xf>
    <xf borderId="0" fillId="4" fontId="4" numFmtId="164" xfId="0" applyAlignment="1" applyFont="1" applyNumberFormat="1">
      <alignment vertical="bottom"/>
    </xf>
    <xf borderId="0" fillId="0" fontId="10" numFmtId="0" xfId="0" applyFont="1"/>
    <xf borderId="0" fillId="0" fontId="11" numFmtId="0" xfId="0" applyFont="1"/>
    <xf borderId="0" fillId="4" fontId="5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4" fillId="7" fontId="11" numFmtId="165" xfId="0" applyBorder="1" applyFont="1" applyNumberFormat="1"/>
    <xf borderId="2" fillId="7" fontId="11" numFmtId="164" xfId="0" applyAlignment="1" applyBorder="1" applyFont="1" applyNumberFormat="1">
      <alignment vertical="bottom"/>
    </xf>
    <xf borderId="2" fillId="7" fontId="12" numFmtId="164" xfId="0" applyAlignment="1" applyBorder="1" applyFont="1" applyNumberFormat="1">
      <alignment vertical="bottom"/>
    </xf>
    <xf borderId="2" fillId="7" fontId="13" numFmtId="164" xfId="0" applyAlignment="1" applyBorder="1" applyFont="1" applyNumberFormat="1">
      <alignment horizontal="right" vertical="bottom"/>
    </xf>
    <xf borderId="1" fillId="7" fontId="8" numFmtId="164" xfId="0" applyAlignment="1" applyBorder="1" applyFont="1" applyNumberFormat="1">
      <alignment horizontal="right" vertical="bottom"/>
    </xf>
    <xf borderId="2" fillId="7" fontId="14" numFmtId="164" xfId="0" applyAlignment="1" applyBorder="1" applyFont="1" applyNumberFormat="1">
      <alignment vertical="bottom"/>
    </xf>
    <xf borderId="2" fillId="7" fontId="15" numFmtId="164" xfId="0" applyAlignment="1" applyBorder="1" applyFont="1" applyNumberFormat="1">
      <alignment vertical="bottom"/>
    </xf>
    <xf borderId="2" fillId="7" fontId="16" numFmtId="164" xfId="0" applyAlignment="1" applyBorder="1" applyFont="1" applyNumberFormat="1">
      <alignment vertical="bottom"/>
    </xf>
    <xf borderId="2" fillId="7" fontId="11" numFmtId="164" xfId="0" applyAlignment="1" applyBorder="1" applyFont="1" applyNumberFormat="1">
      <alignment horizontal="right" vertical="bottom"/>
    </xf>
    <xf borderId="4" fillId="7" fontId="11" numFmtId="164" xfId="0" applyAlignment="1" applyBorder="1" applyFont="1" applyNumberFormat="1">
      <alignment vertical="bottom"/>
    </xf>
    <xf borderId="2" fillId="7" fontId="11" numFmtId="164" xfId="0" applyAlignment="1" applyBorder="1" applyFont="1" applyNumberFormat="1">
      <alignment shrinkToFit="0" vertical="bottom" wrapText="0"/>
    </xf>
    <xf borderId="4" fillId="7" fontId="4" numFmtId="0" xfId="0" applyBorder="1" applyFont="1"/>
    <xf borderId="2" fillId="7" fontId="4" numFmtId="164" xfId="0" applyAlignment="1" applyBorder="1" applyFont="1" applyNumberFormat="1">
      <alignment vertical="bottom"/>
    </xf>
    <xf borderId="2" fillId="7" fontId="17" numFmtId="164" xfId="0" applyAlignment="1" applyBorder="1" applyFont="1" applyNumberFormat="1">
      <alignment vertical="bottom"/>
    </xf>
    <xf borderId="2" fillId="7" fontId="18" numFmtId="164" xfId="0" applyAlignment="1" applyBorder="1" applyFont="1" applyNumberFormat="1">
      <alignment vertical="bottom"/>
    </xf>
    <xf borderId="2" fillId="6" fontId="3" numFmtId="0" xfId="0" applyAlignment="1" applyBorder="1" applyFont="1">
      <alignment vertical="bottom"/>
    </xf>
    <xf borderId="4" fillId="7" fontId="8" numFmtId="164" xfId="0" applyAlignment="1" applyBorder="1" applyFont="1" applyNumberFormat="1">
      <alignment horizontal="right" vertical="bottom"/>
    </xf>
    <xf borderId="4" fillId="0" fontId="4" numFmtId="0" xfId="0" applyBorder="1" applyFont="1"/>
    <xf borderId="2" fillId="7" fontId="19" numFmtId="164" xfId="0" applyAlignment="1" applyBorder="1" applyFont="1" applyNumberFormat="1">
      <alignment vertical="bottom"/>
    </xf>
    <xf borderId="4" fillId="7" fontId="14" numFmtId="0" xfId="0" applyBorder="1" applyFont="1"/>
    <xf borderId="2" fillId="7" fontId="20" numFmtId="164" xfId="0" applyAlignment="1" applyBorder="1" applyFont="1" applyNumberFormat="1">
      <alignment horizontal="right" vertical="bottom"/>
    </xf>
    <xf borderId="2" fillId="7" fontId="21" numFmtId="164" xfId="0" applyAlignment="1" applyBorder="1" applyFont="1" applyNumberFormat="1">
      <alignment horizontal="right" vertical="bottom"/>
    </xf>
    <xf borderId="4" fillId="7" fontId="11" numFmtId="0" xfId="0" applyBorder="1" applyFont="1"/>
    <xf borderId="4" fillId="7" fontId="22" numFmtId="0" xfId="0" applyBorder="1" applyFont="1"/>
    <xf borderId="4" fillId="7" fontId="4" numFmtId="164" xfId="0" applyAlignment="1" applyBorder="1" applyFont="1" applyNumberFormat="1">
      <alignment vertical="bottom"/>
    </xf>
    <xf borderId="5" fillId="3" fontId="5" numFmtId="0" xfId="0" applyAlignment="1" applyBorder="1" applyFont="1">
      <alignment horizontal="center" vertical="bottom"/>
    </xf>
    <xf borderId="2" fillId="7" fontId="23" numFmtId="164" xfId="0" applyAlignment="1" applyBorder="1" applyFont="1" applyNumberFormat="1">
      <alignment horizontal="right" vertical="bottom"/>
    </xf>
    <xf borderId="0" fillId="0" fontId="22" numFmtId="0" xfId="0" applyFont="1"/>
    <xf borderId="2" fillId="7" fontId="24" numFmtId="164" xfId="0" applyAlignment="1" applyBorder="1" applyFont="1" applyNumberFormat="1">
      <alignment horizontal="right" vertical="bottom"/>
    </xf>
    <xf borderId="6" fillId="0" fontId="2" numFmtId="0" xfId="0" applyBorder="1" applyFont="1"/>
    <xf borderId="0" fillId="4" fontId="10" numFmtId="0" xfId="0" applyFont="1"/>
    <xf borderId="0" fillId="4" fontId="6" numFmtId="164" xfId="0" applyAlignment="1" applyFont="1" applyNumberFormat="1">
      <alignment horizontal="center" vertical="bottom"/>
    </xf>
    <xf borderId="0" fillId="4" fontId="6" numFmtId="0" xfId="0" applyAlignment="1" applyFont="1">
      <alignment horizontal="center"/>
    </xf>
    <xf borderId="0" fillId="4" fontId="25" numFmtId="0" xfId="0" applyFont="1"/>
    <xf borderId="0" fillId="4" fontId="1" numFmtId="164" xfId="0" applyAlignment="1" applyFont="1" applyNumberFormat="1">
      <alignment horizontal="right" vertical="bottom"/>
    </xf>
    <xf borderId="0" fillId="4" fontId="3" numFmtId="0" xfId="0" applyFont="1"/>
    <xf borderId="0" fillId="4" fontId="15" numFmtId="0" xfId="0" applyFont="1"/>
    <xf borderId="0" fillId="4" fontId="8" numFmtId="0" xfId="0" applyFont="1"/>
    <xf borderId="0" fillId="9" fontId="7" numFmtId="0" xfId="0" applyAlignment="1" applyFill="1" applyFont="1">
      <alignment horizontal="center" shrinkToFit="0" vertical="center" wrapText="0"/>
    </xf>
    <xf borderId="0" fillId="0" fontId="9" numFmtId="0" xfId="0" applyAlignment="1" applyFont="1">
      <alignment shrinkToFit="0" vertical="center" wrapText="0"/>
    </xf>
    <xf borderId="0" fillId="8" fontId="26" numFmtId="0" xfId="0" applyAlignment="1" applyFont="1">
      <alignment horizontal="center" shrinkToFit="0" vertical="center" wrapText="0"/>
    </xf>
    <xf borderId="7" fillId="3" fontId="27" numFmtId="0" xfId="0" applyAlignment="1" applyBorder="1" applyFont="1">
      <alignment horizontal="center" shrinkToFit="0" vertical="center" wrapText="0"/>
    </xf>
    <xf borderId="8" fillId="3" fontId="27" numFmtId="0" xfId="0" applyAlignment="1" applyBorder="1" applyFont="1">
      <alignment horizontal="center" shrinkToFit="0" vertical="center" wrapText="0"/>
    </xf>
    <xf borderId="9" fillId="3" fontId="27" numFmtId="0" xfId="0" applyAlignment="1" applyBorder="1" applyFont="1">
      <alignment horizontal="center" shrinkToFit="0" vertical="center" wrapText="0"/>
    </xf>
    <xf borderId="10" fillId="0" fontId="9" numFmtId="0" xfId="0" applyAlignment="1" applyBorder="1" applyFont="1">
      <alignment shrinkToFit="0" vertical="center" wrapText="1"/>
    </xf>
    <xf borderId="11" fillId="0" fontId="9" numFmtId="166" xfId="0" applyAlignment="1" applyBorder="1" applyFont="1" applyNumberFormat="1">
      <alignment shrinkToFit="0" vertical="center" wrapText="0"/>
    </xf>
    <xf borderId="11" fillId="0" fontId="9" numFmtId="166" xfId="0" applyAlignment="1" applyBorder="1" applyFont="1" applyNumberFormat="1">
      <alignment readingOrder="0" shrinkToFit="0" vertical="center" wrapText="0"/>
    </xf>
    <xf borderId="12" fillId="0" fontId="9" numFmtId="166" xfId="0" applyAlignment="1" applyBorder="1" applyFont="1" applyNumberFormat="1">
      <alignment shrinkToFit="0" vertical="center" wrapText="0"/>
    </xf>
    <xf borderId="10" fillId="0" fontId="9" numFmtId="0" xfId="0" applyAlignment="1" applyBorder="1" applyFont="1">
      <alignment shrinkToFit="0" vertical="center" wrapText="0"/>
    </xf>
    <xf borderId="11" fillId="0" fontId="9" numFmtId="0" xfId="0" applyAlignment="1" applyBorder="1" applyFont="1">
      <alignment shrinkToFit="0" vertical="center" wrapText="0"/>
    </xf>
    <xf borderId="11" fillId="0" fontId="9" numFmtId="0" xfId="0" applyAlignment="1" applyBorder="1" applyFont="1">
      <alignment readingOrder="0" shrinkToFit="0" vertical="center" wrapText="0"/>
    </xf>
    <xf borderId="12" fillId="0" fontId="9" numFmtId="0" xfId="0" applyAlignment="1" applyBorder="1" applyFont="1">
      <alignment shrinkToFit="0" vertical="center" wrapText="0"/>
    </xf>
    <xf borderId="11" fillId="0" fontId="28" numFmtId="166" xfId="0" applyAlignment="1" applyBorder="1" applyFont="1" applyNumberFormat="1">
      <alignment shrinkToFit="0" vertical="center" wrapText="0"/>
    </xf>
    <xf borderId="10" fillId="0" fontId="9" numFmtId="0" xfId="0" applyAlignment="1" applyBorder="1" applyFont="1">
      <alignment readingOrder="0" shrinkToFit="0" vertical="center" wrapText="0"/>
    </xf>
    <xf borderId="0" fillId="0" fontId="29" numFmtId="166" xfId="0" applyAlignment="1" applyFont="1" applyNumberFormat="1">
      <alignment readingOrder="0"/>
    </xf>
    <xf borderId="13" fillId="0" fontId="9" numFmtId="0" xfId="0" applyAlignment="1" applyBorder="1" applyFont="1">
      <alignment shrinkToFit="0" vertical="center" wrapText="1"/>
    </xf>
    <xf borderId="14" fillId="0" fontId="9" numFmtId="166" xfId="0" applyAlignment="1" applyBorder="1" applyFont="1" applyNumberFormat="1">
      <alignment shrinkToFit="0" vertical="center" wrapText="0"/>
    </xf>
    <xf borderId="14" fillId="0" fontId="9" numFmtId="166" xfId="0" applyAlignment="1" applyBorder="1" applyFont="1" applyNumberFormat="1">
      <alignment readingOrder="0" shrinkToFit="0" vertical="center" wrapText="0"/>
    </xf>
    <xf borderId="15" fillId="0" fontId="9" numFmtId="166" xfId="0" applyAlignment="1" applyBorder="1" applyFont="1" applyNumberFormat="1">
      <alignment shrinkToFit="0" vertical="center" wrapText="0"/>
    </xf>
    <xf borderId="13" fillId="0" fontId="9" numFmtId="0" xfId="0" applyAlignment="1" applyBorder="1" applyFont="1">
      <alignment shrinkToFit="0" vertical="center" wrapText="0"/>
    </xf>
    <xf borderId="14" fillId="0" fontId="9" numFmtId="0" xfId="0" applyAlignment="1" applyBorder="1" applyFont="1">
      <alignment shrinkToFit="0" vertical="center" wrapText="0"/>
    </xf>
    <xf borderId="14" fillId="0" fontId="9" numFmtId="0" xfId="0" applyAlignment="1" applyBorder="1" applyFont="1">
      <alignment readingOrder="0" shrinkToFit="0" vertical="center" wrapText="0"/>
    </xf>
    <xf borderId="15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0" fontId="9" numFmtId="166" xfId="0" applyAlignment="1" applyFont="1" applyNumberFormat="1">
      <alignment shrinkToFit="0" vertical="center" wrapText="0"/>
    </xf>
    <xf borderId="0" fillId="10" fontId="9" numFmtId="166" xfId="0" applyAlignment="1" applyFill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11" fillId="11" fontId="30" numFmtId="166" xfId="0" applyAlignment="1" applyBorder="1" applyFill="1" applyFont="1" applyNumberFormat="1">
      <alignment horizontal="right"/>
    </xf>
    <xf borderId="0" fillId="11" fontId="31" numFmtId="165" xfId="0" applyAlignment="1" applyFont="1" applyNumberFormat="1">
      <alignment readingOrder="0" shrinkToFit="0" vertical="center" wrapText="0"/>
    </xf>
    <xf borderId="0" fillId="12" fontId="32" numFmtId="165" xfId="0" applyAlignment="1" applyFill="1" applyFont="1" applyNumberFormat="1">
      <alignment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11" fillId="0" fontId="4" numFmtId="166" xfId="0" applyBorder="1" applyFont="1" applyNumberFormat="1"/>
    <xf borderId="7" fillId="5" fontId="7" numFmtId="0" xfId="0" applyAlignment="1" applyBorder="1" applyFont="1">
      <alignment horizontal="center" shrinkToFit="0" vertical="center" wrapText="0"/>
    </xf>
    <xf borderId="8" fillId="5" fontId="7" numFmtId="0" xfId="0" applyAlignment="1" applyBorder="1" applyFont="1">
      <alignment horizontal="center" shrinkToFit="0" vertical="center" wrapText="0"/>
    </xf>
    <xf borderId="9" fillId="5" fontId="7" numFmtId="0" xfId="0" applyAlignment="1" applyBorder="1" applyFont="1">
      <alignment horizontal="center" shrinkToFit="0" vertical="center" wrapText="0"/>
    </xf>
    <xf borderId="10" fillId="11" fontId="33" numFmtId="0" xfId="0" applyAlignment="1" applyBorder="1" applyFont="1">
      <alignment shrinkToFit="0" vertical="center" wrapText="0"/>
    </xf>
    <xf borderId="11" fillId="11" fontId="33" numFmtId="0" xfId="0" applyAlignment="1" applyBorder="1" applyFont="1">
      <alignment shrinkToFit="0" vertical="center" wrapText="0"/>
    </xf>
    <xf borderId="11" fillId="11" fontId="33" numFmtId="166" xfId="0" applyAlignment="1" applyBorder="1" applyFont="1" applyNumberFormat="1">
      <alignment shrinkToFit="0" vertical="center" wrapText="0"/>
    </xf>
    <xf borderId="12" fillId="11" fontId="33" numFmtId="166" xfId="0" applyAlignment="1" applyBorder="1" applyFont="1" applyNumberFormat="1">
      <alignment shrinkToFit="0" vertical="center" wrapText="0"/>
    </xf>
    <xf borderId="10" fillId="13" fontId="34" numFmtId="0" xfId="0" applyAlignment="1" applyBorder="1" applyFill="1" applyFont="1">
      <alignment shrinkToFit="0" vertical="center" wrapText="0"/>
    </xf>
    <xf borderId="11" fillId="13" fontId="34" numFmtId="0" xfId="0" applyAlignment="1" applyBorder="1" applyFont="1">
      <alignment shrinkToFit="0" vertical="center" wrapText="0"/>
    </xf>
    <xf borderId="11" fillId="13" fontId="34" numFmtId="166" xfId="0" applyAlignment="1" applyBorder="1" applyFont="1" applyNumberFormat="1">
      <alignment shrinkToFit="0" vertical="center" wrapText="0"/>
    </xf>
    <xf borderId="12" fillId="13" fontId="34" numFmtId="166" xfId="0" applyAlignment="1" applyBorder="1" applyFont="1" applyNumberFormat="1">
      <alignment shrinkToFit="0" vertical="center" wrapText="0"/>
    </xf>
    <xf borderId="14" fillId="0" fontId="9" numFmtId="9" xfId="0" applyAlignment="1" applyBorder="1" applyFont="1" applyNumberFormat="1">
      <alignment shrinkToFit="0" vertical="center" wrapText="0"/>
    </xf>
    <xf borderId="15" fillId="0" fontId="9" numFmtId="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3"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'Controle 2026'!$A$29:$A$40</c:f>
            </c:strRef>
          </c:cat>
          <c:val>
            <c:numRef>
              <c:f>'Controle 2026'!$B$29:$B$40</c:f>
              <c:numCache/>
            </c:numRef>
          </c:val>
        </c:ser>
        <c:ser>
          <c:idx val="1"/>
          <c:order val="1"/>
          <c:tx>
            <c:v>Pago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'Controle 2026'!$A$29:$A$40</c:f>
            </c:strRef>
          </c:cat>
          <c:val>
            <c:numRef>
              <c:f>'Controle 2026'!$C$29:$C$40</c:f>
              <c:numCache/>
            </c:numRef>
          </c:val>
        </c:ser>
        <c:ser>
          <c:idx val="2"/>
          <c:order val="2"/>
          <c:tx>
            <c:v>Restante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'Controle 2026'!$A$29:$A$40</c:f>
            </c:strRef>
          </c:cat>
          <c:val>
            <c:numRef>
              <c:f>'Controle 2026'!$D$29:$D$40</c:f>
              <c:numCache/>
            </c:numRef>
          </c:val>
        </c:ser>
        <c:axId val="890085192"/>
        <c:axId val="1827680881"/>
      </c:barChart>
      <c:catAx>
        <c:axId val="8900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680881"/>
      </c:catAx>
      <c:valAx>
        <c:axId val="1827680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0851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27</xdr:row>
      <xdr:rowOff>0</xdr:rowOff>
    </xdr:from>
    <xdr:ext cx="822960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19.13"/>
    <col customWidth="1" min="3" max="4" width="17.5"/>
    <col customWidth="1" min="5" max="6" width="12.63"/>
    <col customWidth="1" min="9" max="9" width="17.88"/>
    <col customWidth="1" min="18" max="18" width="37.75"/>
  </cols>
  <sheetData>
    <row r="1" ht="15.75" customHeight="1">
      <c r="A1" s="1" t="s">
        <v>0</v>
      </c>
      <c r="B1" s="2"/>
      <c r="C1" s="3"/>
      <c r="D1" s="3"/>
      <c r="E1" s="3"/>
      <c r="F1" s="4"/>
      <c r="G1" s="4"/>
      <c r="H1" s="5"/>
    </row>
    <row r="2" ht="19.5" customHeight="1">
      <c r="A2" s="6" t="s">
        <v>1</v>
      </c>
      <c r="B2" s="7" t="s">
        <v>2</v>
      </c>
      <c r="C2" s="8"/>
      <c r="D2" s="8"/>
      <c r="E2" s="8"/>
      <c r="F2" s="8"/>
      <c r="G2" s="9"/>
      <c r="H2" s="10"/>
      <c r="I2" s="11"/>
      <c r="J2" s="12"/>
      <c r="P2" s="13" t="s">
        <v>3</v>
      </c>
    </row>
    <row r="3" ht="15.75" customHeight="1">
      <c r="A3" s="14" t="s">
        <v>4</v>
      </c>
      <c r="B3" s="15">
        <v>7350.0</v>
      </c>
      <c r="C3" s="16"/>
      <c r="D3" s="17"/>
      <c r="E3" s="18"/>
      <c r="F3" s="18"/>
      <c r="G3" s="18"/>
      <c r="H3" s="19"/>
      <c r="I3" s="8"/>
      <c r="J3" s="12"/>
      <c r="P3" s="20" t="s">
        <v>5</v>
      </c>
    </row>
    <row r="4" ht="15.75" customHeight="1">
      <c r="A4" s="14" t="s">
        <v>6</v>
      </c>
      <c r="B4" s="15">
        <v>1660.0</v>
      </c>
      <c r="C4" s="16"/>
      <c r="D4" s="17"/>
      <c r="E4" s="18"/>
      <c r="F4" s="18"/>
      <c r="G4" s="18"/>
      <c r="H4" s="21"/>
      <c r="I4" s="22"/>
      <c r="J4" s="12"/>
      <c r="M4" s="5" t="s">
        <v>7</v>
      </c>
    </row>
    <row r="5" ht="15.75" customHeight="1">
      <c r="A5" s="14"/>
      <c r="B5" s="15"/>
      <c r="C5" s="16"/>
      <c r="D5" s="17"/>
      <c r="E5" s="18"/>
      <c r="F5" s="18"/>
      <c r="G5" s="18"/>
      <c r="H5" s="21"/>
      <c r="I5" s="22"/>
      <c r="J5" s="12"/>
      <c r="M5" s="5"/>
    </row>
    <row r="6" ht="15.75" customHeight="1">
      <c r="A6" s="23" t="s">
        <v>8</v>
      </c>
      <c r="B6" s="15">
        <f>SUM(B3:B5)</f>
        <v>9010</v>
      </c>
      <c r="C6" s="16"/>
      <c r="D6" s="17"/>
      <c r="E6" s="18"/>
      <c r="F6" s="24"/>
      <c r="G6" s="24"/>
      <c r="H6" s="21"/>
      <c r="I6" s="22"/>
      <c r="J6" s="12"/>
    </row>
    <row r="7" ht="15.75" customHeight="1">
      <c r="D7" s="25"/>
      <c r="E7" s="26"/>
      <c r="H7" s="27"/>
      <c r="I7" s="22"/>
      <c r="J7" s="12"/>
    </row>
    <row r="8" ht="15.75" customHeight="1">
      <c r="A8" s="1" t="s">
        <v>9</v>
      </c>
      <c r="B8" s="2"/>
      <c r="C8" s="28"/>
      <c r="D8" s="28" t="s">
        <v>10</v>
      </c>
      <c r="E8" s="28"/>
      <c r="F8" s="28"/>
      <c r="G8" s="28"/>
      <c r="H8" s="28"/>
      <c r="I8" s="28"/>
      <c r="J8" s="28"/>
      <c r="K8" s="28"/>
      <c r="L8" s="28"/>
      <c r="M8" s="28"/>
      <c r="N8" s="28"/>
    </row>
    <row r="9" ht="15.75" customHeight="1">
      <c r="A9" s="6" t="s">
        <v>1</v>
      </c>
      <c r="B9" s="7" t="s">
        <v>2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  <c r="K9" s="7" t="s">
        <v>19</v>
      </c>
      <c r="L9" s="7" t="s">
        <v>20</v>
      </c>
      <c r="M9" s="7" t="s">
        <v>21</v>
      </c>
      <c r="N9" s="7" t="s">
        <v>22</v>
      </c>
      <c r="P9" s="1" t="s">
        <v>23</v>
      </c>
      <c r="Q9" s="2"/>
      <c r="R9" s="4"/>
      <c r="S9" s="4"/>
    </row>
    <row r="10" ht="15.75" customHeight="1">
      <c r="A10" s="14" t="s">
        <v>24</v>
      </c>
      <c r="B10" s="15">
        <v>56.0</v>
      </c>
      <c r="C10" s="29">
        <v>54.79</v>
      </c>
      <c r="D10" s="30">
        <v>54.77</v>
      </c>
      <c r="E10" s="30">
        <v>54.79</v>
      </c>
      <c r="F10" s="30">
        <v>54.77</v>
      </c>
      <c r="G10" s="31">
        <v>54.77</v>
      </c>
      <c r="H10" s="30"/>
      <c r="I10" s="32"/>
      <c r="J10" s="32"/>
      <c r="K10" s="32"/>
      <c r="L10" s="32"/>
      <c r="M10" s="32"/>
      <c r="N10" s="32"/>
      <c r="P10" s="14" t="s">
        <v>25</v>
      </c>
      <c r="Q10" s="33">
        <v>19.9</v>
      </c>
      <c r="R10" s="8"/>
      <c r="S10" s="9"/>
      <c r="T10" s="10"/>
      <c r="U10" s="11"/>
    </row>
    <row r="11" ht="15.75" customHeight="1">
      <c r="A11" s="14" t="s">
        <v>26</v>
      </c>
      <c r="B11" s="15">
        <v>126.0</v>
      </c>
      <c r="C11" s="29">
        <v>139.9</v>
      </c>
      <c r="D11" s="30">
        <v>139.9</v>
      </c>
      <c r="E11" s="30">
        <v>139.9</v>
      </c>
      <c r="F11" s="30">
        <v>139.9</v>
      </c>
      <c r="G11" s="31">
        <v>139.9</v>
      </c>
      <c r="H11" s="30"/>
      <c r="I11" s="32"/>
      <c r="J11" s="32"/>
      <c r="K11" s="32"/>
      <c r="L11" s="32"/>
      <c r="M11" s="32"/>
      <c r="N11" s="32"/>
      <c r="P11" s="14" t="s">
        <v>27</v>
      </c>
      <c r="Q11" s="33">
        <v>108.37</v>
      </c>
      <c r="R11" s="18"/>
      <c r="S11" s="18"/>
      <c r="T11" s="19"/>
      <c r="U11" s="8"/>
    </row>
    <row r="12" ht="15.75" customHeight="1">
      <c r="A12" s="14" t="s">
        <v>28</v>
      </c>
      <c r="B12" s="15">
        <v>980.0</v>
      </c>
      <c r="C12" s="29">
        <v>0.0</v>
      </c>
      <c r="D12" s="30">
        <v>988.62</v>
      </c>
      <c r="E12" s="34">
        <v>988.62</v>
      </c>
      <c r="F12" s="30">
        <v>852.11</v>
      </c>
      <c r="G12" s="31">
        <v>852.11</v>
      </c>
      <c r="H12" s="30"/>
      <c r="I12" s="32"/>
      <c r="J12" s="32"/>
      <c r="K12" s="32"/>
      <c r="L12" s="32"/>
      <c r="M12" s="32"/>
      <c r="N12" s="32"/>
      <c r="P12" s="14" t="s">
        <v>29</v>
      </c>
      <c r="Q12" s="33">
        <v>50.0</v>
      </c>
      <c r="R12" s="18"/>
      <c r="S12" s="18"/>
      <c r="T12" s="21"/>
      <c r="U12" s="22"/>
    </row>
    <row r="13" ht="15.75" customHeight="1">
      <c r="A13" s="14" t="s">
        <v>30</v>
      </c>
      <c r="B13" s="15">
        <v>40.0</v>
      </c>
      <c r="C13" s="29">
        <v>59.94</v>
      </c>
      <c r="D13" s="30">
        <v>55.04</v>
      </c>
      <c r="E13" s="35">
        <v>55.04</v>
      </c>
      <c r="F13" s="36">
        <v>21.88</v>
      </c>
      <c r="G13" s="30"/>
      <c r="H13" s="32"/>
      <c r="I13" s="32"/>
      <c r="J13" s="32"/>
      <c r="K13" s="32"/>
      <c r="L13" s="32"/>
      <c r="M13" s="32"/>
      <c r="N13" s="15"/>
      <c r="P13" s="14" t="s">
        <v>31</v>
      </c>
      <c r="Q13" s="33">
        <v>44.9</v>
      </c>
      <c r="R13" s="18"/>
      <c r="S13" s="18"/>
      <c r="T13" s="21"/>
      <c r="U13" s="22"/>
    </row>
    <row r="14" ht="15.75" customHeight="1">
      <c r="A14" s="14" t="s">
        <v>32</v>
      </c>
      <c r="B14" s="15">
        <v>200.0</v>
      </c>
      <c r="C14" s="29">
        <v>264.6</v>
      </c>
      <c r="D14" s="30"/>
      <c r="E14" s="30">
        <v>264.6</v>
      </c>
      <c r="F14" s="34">
        <v>0.0</v>
      </c>
      <c r="G14" s="30"/>
      <c r="H14" s="37"/>
      <c r="I14" s="32"/>
      <c r="J14" s="32"/>
      <c r="K14" s="32"/>
      <c r="L14" s="32"/>
      <c r="M14" s="32"/>
      <c r="N14" s="32"/>
      <c r="P14" s="14" t="s">
        <v>33</v>
      </c>
      <c r="Q14" s="33">
        <v>577.35</v>
      </c>
      <c r="R14" s="24"/>
      <c r="S14" s="24"/>
      <c r="T14" s="21"/>
      <c r="U14" s="22"/>
    </row>
    <row r="15" ht="15.75" customHeight="1">
      <c r="A15" s="14" t="s">
        <v>34</v>
      </c>
      <c r="B15" s="35">
        <v>50.0</v>
      </c>
      <c r="C15" s="38">
        <v>56.97</v>
      </c>
      <c r="D15" s="35" t="s">
        <v>35</v>
      </c>
      <c r="E15" s="30">
        <v>60.0</v>
      </c>
      <c r="F15" s="35" t="s">
        <v>36</v>
      </c>
      <c r="G15" s="31">
        <v>65.0</v>
      </c>
      <c r="H15" s="30"/>
      <c r="I15" s="30"/>
      <c r="J15" s="39"/>
      <c r="K15" s="32"/>
      <c r="L15" s="32"/>
      <c r="M15" s="30"/>
      <c r="N15" s="35"/>
      <c r="P15" s="40" t="s">
        <v>37</v>
      </c>
      <c r="Q15" s="33">
        <v>750.0</v>
      </c>
      <c r="T15" s="27"/>
      <c r="U15" s="22"/>
    </row>
    <row r="16" ht="15.75" customHeight="1">
      <c r="A16" s="14" t="s">
        <v>38</v>
      </c>
      <c r="B16" s="35">
        <v>260.0</v>
      </c>
      <c r="C16" s="38">
        <v>0.0</v>
      </c>
      <c r="D16" s="35"/>
      <c r="E16" s="35"/>
      <c r="F16" s="35"/>
      <c r="G16" s="30"/>
      <c r="H16" s="30"/>
      <c r="I16" s="30"/>
      <c r="J16" s="41"/>
      <c r="K16" s="41"/>
      <c r="L16" s="41"/>
      <c r="M16" s="41"/>
      <c r="N16" s="42"/>
      <c r="P16" s="40" t="s">
        <v>39</v>
      </c>
      <c r="Q16" s="33">
        <v>43.9</v>
      </c>
    </row>
    <row r="17" ht="15.75" customHeight="1">
      <c r="A17" s="14" t="s">
        <v>40</v>
      </c>
      <c r="B17" s="15">
        <v>650.0</v>
      </c>
      <c r="C17" s="30">
        <v>600.0</v>
      </c>
      <c r="D17" s="30">
        <v>800.0</v>
      </c>
      <c r="E17" s="30">
        <v>800.0</v>
      </c>
      <c r="F17" s="30">
        <v>700.0</v>
      </c>
      <c r="G17" s="30"/>
      <c r="H17" s="41"/>
      <c r="I17" s="43"/>
      <c r="J17" s="43"/>
      <c r="K17" s="30"/>
      <c r="L17" s="30"/>
      <c r="M17" s="30"/>
      <c r="N17" s="15"/>
    </row>
    <row r="18" ht="15.75" customHeight="1">
      <c r="A18" s="14" t="s">
        <v>41</v>
      </c>
      <c r="B18" s="15"/>
      <c r="C18" s="35"/>
      <c r="D18" s="30">
        <v>450.0</v>
      </c>
      <c r="E18" s="30">
        <v>450.0</v>
      </c>
      <c r="F18" s="30">
        <v>450.0</v>
      </c>
      <c r="G18" s="31">
        <v>450.0</v>
      </c>
      <c r="H18" s="41"/>
      <c r="I18" s="43"/>
      <c r="J18" s="43"/>
      <c r="K18" s="30"/>
      <c r="L18" s="30"/>
      <c r="M18" s="30"/>
      <c r="N18" s="15"/>
    </row>
    <row r="19" ht="15.75" customHeight="1">
      <c r="A19" s="14" t="s">
        <v>42</v>
      </c>
      <c r="B19" s="15">
        <v>905.0</v>
      </c>
      <c r="C19" s="30">
        <v>905.0</v>
      </c>
      <c r="D19" s="30">
        <v>905.0</v>
      </c>
      <c r="E19" s="30">
        <v>905.0</v>
      </c>
      <c r="F19" s="30">
        <v>905.0</v>
      </c>
      <c r="G19" s="30">
        <v>905.0</v>
      </c>
      <c r="H19" s="41"/>
      <c r="I19" s="43"/>
      <c r="J19" s="43"/>
      <c r="K19" s="30"/>
      <c r="L19" s="30"/>
      <c r="M19" s="30"/>
      <c r="N19" s="15"/>
    </row>
    <row r="20" ht="15.75" customHeight="1">
      <c r="A20" s="14" t="s">
        <v>43</v>
      </c>
      <c r="B20" s="15">
        <v>450.0</v>
      </c>
      <c r="C20" s="35">
        <v>807.0</v>
      </c>
      <c r="D20" s="30">
        <v>807.0</v>
      </c>
      <c r="E20" s="30">
        <v>807.0</v>
      </c>
      <c r="F20" s="30" t="s">
        <v>44</v>
      </c>
      <c r="G20" s="30" t="s">
        <v>44</v>
      </c>
      <c r="H20" s="41"/>
      <c r="I20" s="43"/>
      <c r="J20" s="43"/>
      <c r="K20" s="30"/>
      <c r="L20" s="30"/>
      <c r="M20" s="30"/>
      <c r="N20" s="15"/>
    </row>
    <row r="21" ht="15.75" customHeight="1">
      <c r="A21" s="14" t="s">
        <v>45</v>
      </c>
      <c r="B21" s="15"/>
      <c r="C21" s="30">
        <v>186.35</v>
      </c>
      <c r="D21" s="30">
        <v>181.14</v>
      </c>
      <c r="E21" s="35">
        <v>181.14</v>
      </c>
      <c r="F21" s="30">
        <v>181.14</v>
      </c>
      <c r="G21" s="31">
        <v>181.14</v>
      </c>
      <c r="H21" s="30"/>
      <c r="I21" s="30"/>
      <c r="J21" s="30"/>
      <c r="K21" s="30"/>
      <c r="L21" s="30"/>
      <c r="M21" s="30"/>
      <c r="N21" s="32"/>
    </row>
    <row r="22" ht="15.75" customHeight="1">
      <c r="A22" s="14" t="s">
        <v>46</v>
      </c>
      <c r="B22" s="15"/>
      <c r="C22" s="30">
        <v>3283.0</v>
      </c>
      <c r="D22" s="30">
        <v>3800.0</v>
      </c>
      <c r="E22" s="30">
        <v>2500.0</v>
      </c>
      <c r="F22" s="30">
        <v>3560.0</v>
      </c>
      <c r="G22" s="30">
        <v>5025.0</v>
      </c>
      <c r="H22" s="41"/>
      <c r="I22" s="43"/>
      <c r="J22" s="43"/>
      <c r="K22" s="41"/>
      <c r="L22" s="30"/>
      <c r="M22" s="30"/>
      <c r="N22" s="32"/>
    </row>
    <row r="23" ht="15.75" customHeight="1">
      <c r="A23" s="14" t="s">
        <v>47</v>
      </c>
      <c r="B23" s="15"/>
      <c r="C23" s="31">
        <v>550.0</v>
      </c>
      <c r="D23" s="35" t="s">
        <v>48</v>
      </c>
      <c r="E23" s="41">
        <v>441.0</v>
      </c>
      <c r="F23" s="35" t="s">
        <v>49</v>
      </c>
      <c r="G23" s="31">
        <v>441.0</v>
      </c>
      <c r="H23" s="41"/>
      <c r="I23" s="43"/>
      <c r="J23" s="43"/>
      <c r="K23" s="41"/>
      <c r="L23" s="35"/>
      <c r="M23" s="30"/>
      <c r="N23" s="15"/>
    </row>
    <row r="24" ht="15.75" customHeight="1">
      <c r="A24" s="44" t="s">
        <v>50</v>
      </c>
      <c r="B24" s="45"/>
      <c r="C24" s="31"/>
      <c r="D24" s="30"/>
      <c r="E24" s="41"/>
      <c r="F24" s="30"/>
      <c r="G24" s="31">
        <v>943.0</v>
      </c>
      <c r="H24" s="41"/>
      <c r="I24" s="43"/>
      <c r="J24" s="43"/>
      <c r="K24" s="41"/>
      <c r="L24" s="35"/>
      <c r="M24" s="30"/>
      <c r="N24" s="15"/>
    </row>
    <row r="25" ht="15.75" customHeight="1">
      <c r="A25" s="44"/>
      <c r="B25" s="45"/>
      <c r="C25" s="31"/>
      <c r="D25" s="30"/>
      <c r="E25" s="41"/>
      <c r="F25" s="30"/>
      <c r="G25" s="30"/>
      <c r="H25" s="41"/>
      <c r="I25" s="43"/>
      <c r="J25" s="43"/>
      <c r="K25" s="41"/>
      <c r="L25" s="35"/>
      <c r="M25" s="30"/>
      <c r="N25" s="15"/>
    </row>
    <row r="26" ht="15.75" customHeight="1">
      <c r="A26" s="44" t="s">
        <v>51</v>
      </c>
      <c r="B26" s="45"/>
      <c r="C26" s="31"/>
      <c r="D26" s="30">
        <v>180.89</v>
      </c>
      <c r="E26" s="41">
        <v>180.0</v>
      </c>
      <c r="F26" s="30">
        <v>183.07</v>
      </c>
      <c r="G26" s="31">
        <v>183.07</v>
      </c>
      <c r="H26" s="41"/>
      <c r="I26" s="43"/>
      <c r="J26" s="43"/>
      <c r="K26" s="41"/>
      <c r="L26" s="35"/>
      <c r="M26" s="30"/>
      <c r="N26" s="15"/>
    </row>
    <row r="27" ht="15.75" customHeight="1">
      <c r="A27" s="15">
        <f>SUM(B10:B22)</f>
        <v>3717</v>
      </c>
      <c r="B27" s="46"/>
      <c r="C27" s="15">
        <f t="shared" ref="C27:N27" si="1">SUM(C10:C24)</f>
        <v>6907.55</v>
      </c>
      <c r="D27" s="15">
        <f t="shared" si="1"/>
        <v>8181.47</v>
      </c>
      <c r="E27" s="15">
        <f t="shared" si="1"/>
        <v>7647.09</v>
      </c>
      <c r="F27" s="15">
        <f t="shared" si="1"/>
        <v>6864.8</v>
      </c>
      <c r="G27" s="15">
        <f t="shared" si="1"/>
        <v>9056.92</v>
      </c>
      <c r="H27" s="15">
        <f t="shared" si="1"/>
        <v>0</v>
      </c>
      <c r="I27" s="15">
        <f t="shared" si="1"/>
        <v>0</v>
      </c>
      <c r="J27" s="35">
        <f t="shared" si="1"/>
        <v>0</v>
      </c>
      <c r="K27" s="15">
        <f t="shared" si="1"/>
        <v>0</v>
      </c>
      <c r="L27" s="35">
        <f t="shared" si="1"/>
        <v>0</v>
      </c>
      <c r="M27" s="15">
        <f t="shared" si="1"/>
        <v>0</v>
      </c>
      <c r="N27" s="15">
        <f t="shared" si="1"/>
        <v>0</v>
      </c>
    </row>
    <row r="28" ht="15.75" customHeight="1">
      <c r="D28" s="25"/>
      <c r="E28" s="26"/>
      <c r="H28" s="27"/>
      <c r="I28" s="22"/>
      <c r="J28" s="12"/>
    </row>
    <row r="29" ht="15.75" customHeight="1">
      <c r="A29" s="1" t="s">
        <v>52</v>
      </c>
      <c r="B29" s="2"/>
      <c r="C29" s="28"/>
      <c r="D29" s="28" t="s">
        <v>10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ht="15.75" customHeight="1">
      <c r="A30" s="6" t="s">
        <v>1</v>
      </c>
      <c r="B30" s="7" t="s">
        <v>2</v>
      </c>
      <c r="C30" s="7" t="s">
        <v>11</v>
      </c>
      <c r="D30" s="7" t="s">
        <v>12</v>
      </c>
      <c r="E30" s="7" t="s">
        <v>13</v>
      </c>
      <c r="F30" s="7" t="s">
        <v>14</v>
      </c>
      <c r="G30" s="7" t="s">
        <v>15</v>
      </c>
      <c r="H30" s="7" t="s">
        <v>16</v>
      </c>
      <c r="I30" s="7" t="s">
        <v>17</v>
      </c>
      <c r="J30" s="7" t="s">
        <v>18</v>
      </c>
      <c r="K30" s="7" t="s">
        <v>19</v>
      </c>
      <c r="L30" s="7" t="s">
        <v>20</v>
      </c>
      <c r="M30" s="7" t="s">
        <v>21</v>
      </c>
      <c r="N30" s="7" t="s">
        <v>22</v>
      </c>
      <c r="P30" s="1" t="s">
        <v>23</v>
      </c>
      <c r="Q30" s="2"/>
      <c r="R30" s="4"/>
      <c r="S30" s="4"/>
    </row>
    <row r="31" ht="15.75" customHeight="1">
      <c r="A31" s="14" t="s">
        <v>24</v>
      </c>
      <c r="B31" s="15">
        <v>56.0</v>
      </c>
      <c r="C31" s="29">
        <v>54.81</v>
      </c>
      <c r="D31" s="30">
        <v>49.34</v>
      </c>
      <c r="E31" s="30">
        <v>54.81</v>
      </c>
      <c r="F31" s="30">
        <v>54.77</v>
      </c>
      <c r="G31" s="30">
        <v>54.79</v>
      </c>
      <c r="H31" s="30">
        <v>54.75</v>
      </c>
      <c r="I31" s="32">
        <v>54.77</v>
      </c>
      <c r="J31" s="32">
        <v>54.75</v>
      </c>
      <c r="K31" s="32">
        <v>54.79</v>
      </c>
      <c r="L31" s="32">
        <v>54.79</v>
      </c>
      <c r="M31" s="32">
        <v>54.73</v>
      </c>
      <c r="N31" s="32">
        <v>54.73</v>
      </c>
      <c r="P31" s="14" t="s">
        <v>25</v>
      </c>
      <c r="Q31" s="33">
        <v>19.9</v>
      </c>
      <c r="R31" s="8"/>
      <c r="S31" s="9"/>
      <c r="T31" s="10"/>
      <c r="U31" s="11"/>
    </row>
    <row r="32" ht="15.75" customHeight="1">
      <c r="A32" s="14" t="s">
        <v>26</v>
      </c>
      <c r="B32" s="15">
        <v>126.0</v>
      </c>
      <c r="C32" s="29">
        <v>109.9</v>
      </c>
      <c r="D32" s="30">
        <v>149.9</v>
      </c>
      <c r="E32" s="30">
        <v>149.9</v>
      </c>
      <c r="F32" s="30">
        <v>149.9</v>
      </c>
      <c r="G32" s="30">
        <v>149.9</v>
      </c>
      <c r="H32" s="30">
        <v>139.9</v>
      </c>
      <c r="I32" s="32">
        <v>149.9</v>
      </c>
      <c r="J32" s="32">
        <v>149.9</v>
      </c>
      <c r="K32" s="32">
        <v>139.9</v>
      </c>
      <c r="L32" s="32">
        <v>149.9</v>
      </c>
      <c r="M32" s="32">
        <v>139.9</v>
      </c>
      <c r="N32" s="32">
        <v>139.9</v>
      </c>
      <c r="P32" s="14" t="s">
        <v>27</v>
      </c>
      <c r="Q32" s="33">
        <v>108.37</v>
      </c>
      <c r="R32" s="18"/>
      <c r="S32" s="18"/>
      <c r="T32" s="19"/>
      <c r="U32" s="8"/>
    </row>
    <row r="33" ht="15.75" customHeight="1">
      <c r="A33" s="14" t="s">
        <v>28</v>
      </c>
      <c r="B33" s="15">
        <v>980.0</v>
      </c>
      <c r="C33" s="29">
        <v>817.08</v>
      </c>
      <c r="D33" s="30">
        <v>911.36</v>
      </c>
      <c r="E33" s="34">
        <v>799.04</v>
      </c>
      <c r="F33" s="34">
        <v>817.08</v>
      </c>
      <c r="G33" s="30">
        <v>947.38</v>
      </c>
      <c r="H33" s="30"/>
      <c r="I33" s="32">
        <v>867.74</v>
      </c>
      <c r="J33" s="32">
        <v>929.3</v>
      </c>
      <c r="K33" s="32">
        <v>888.54</v>
      </c>
      <c r="L33" s="32">
        <v>939.0</v>
      </c>
      <c r="M33" s="32">
        <v>1000.0</v>
      </c>
      <c r="N33" s="32">
        <v>0.0</v>
      </c>
      <c r="P33" s="14" t="s">
        <v>29</v>
      </c>
      <c r="Q33" s="33">
        <v>50.0</v>
      </c>
      <c r="R33" s="18"/>
      <c r="S33" s="18"/>
      <c r="T33" s="21"/>
      <c r="U33" s="22"/>
    </row>
    <row r="34" ht="15.75" customHeight="1">
      <c r="A34" s="14" t="s">
        <v>30</v>
      </c>
      <c r="B34" s="15">
        <v>40.0</v>
      </c>
      <c r="C34" s="29">
        <v>67.53</v>
      </c>
      <c r="D34" s="30">
        <v>49.34</v>
      </c>
      <c r="E34" s="35"/>
      <c r="F34" s="30">
        <v>55.52</v>
      </c>
      <c r="G34" s="30">
        <v>49.97</v>
      </c>
      <c r="H34" s="32">
        <v>53.02</v>
      </c>
      <c r="I34" s="32">
        <v>46.16</v>
      </c>
      <c r="J34" s="32">
        <v>52.34</v>
      </c>
      <c r="K34" s="32">
        <v>56.15</v>
      </c>
      <c r="L34" s="32">
        <v>61.4</v>
      </c>
      <c r="M34" s="32">
        <v>61.32</v>
      </c>
      <c r="N34" s="32">
        <v>62.6</v>
      </c>
      <c r="P34" s="14" t="s">
        <v>31</v>
      </c>
      <c r="Q34" s="33">
        <v>44.9</v>
      </c>
      <c r="R34" s="18"/>
      <c r="S34" s="18"/>
      <c r="T34" s="21"/>
      <c r="U34" s="22"/>
    </row>
    <row r="35" ht="15.75" customHeight="1">
      <c r="A35" s="14" t="s">
        <v>32</v>
      </c>
      <c r="B35" s="15">
        <v>200.0</v>
      </c>
      <c r="C35" s="29">
        <v>184.41</v>
      </c>
      <c r="D35" s="30">
        <v>142.38</v>
      </c>
      <c r="E35" s="30">
        <v>188.08</v>
      </c>
      <c r="F35" s="34">
        <v>185.96</v>
      </c>
      <c r="G35" s="30">
        <v>219.38</v>
      </c>
      <c r="H35" s="37">
        <v>186.223</v>
      </c>
      <c r="I35" s="32">
        <v>177.27</v>
      </c>
      <c r="J35" s="32">
        <v>145.98</v>
      </c>
      <c r="K35" s="32">
        <v>154.56</v>
      </c>
      <c r="L35" s="32">
        <v>193.16</v>
      </c>
      <c r="M35" s="32">
        <v>176.25</v>
      </c>
      <c r="N35" s="32">
        <v>259.95</v>
      </c>
      <c r="P35" s="14" t="s">
        <v>33</v>
      </c>
      <c r="Q35" s="33">
        <v>577.35</v>
      </c>
      <c r="R35" s="24"/>
      <c r="S35" s="24"/>
      <c r="T35" s="21"/>
      <c r="U35" s="22"/>
    </row>
    <row r="36" ht="15.75" customHeight="1">
      <c r="A36" s="14" t="s">
        <v>34</v>
      </c>
      <c r="B36" s="35">
        <v>50.0</v>
      </c>
      <c r="C36" s="38">
        <v>50.16</v>
      </c>
      <c r="D36" s="30">
        <v>51.15</v>
      </c>
      <c r="E36" s="30">
        <v>51.15</v>
      </c>
      <c r="F36" s="30">
        <v>51.63</v>
      </c>
      <c r="G36" s="30">
        <v>52.17</v>
      </c>
      <c r="H36" s="30">
        <v>53.29</v>
      </c>
      <c r="I36" s="30">
        <v>53.29</v>
      </c>
      <c r="J36" s="39">
        <v>53.97</v>
      </c>
      <c r="K36" s="32">
        <v>54.51</v>
      </c>
      <c r="L36" s="32">
        <v>55.13</v>
      </c>
      <c r="M36" s="30">
        <v>56.0</v>
      </c>
      <c r="N36" s="35" t="s">
        <v>53</v>
      </c>
      <c r="P36" s="40" t="s">
        <v>37</v>
      </c>
      <c r="Q36" s="15">
        <v>750.0</v>
      </c>
      <c r="T36" s="27"/>
      <c r="U36" s="22"/>
    </row>
    <row r="37" ht="15.75" customHeight="1">
      <c r="A37" s="14" t="s">
        <v>38</v>
      </c>
      <c r="B37" s="35">
        <v>260.0</v>
      </c>
      <c r="C37" s="38">
        <v>333.56</v>
      </c>
      <c r="D37" s="35"/>
      <c r="E37" s="35"/>
      <c r="F37" s="34"/>
      <c r="G37" s="30"/>
      <c r="H37" s="30" t="s">
        <v>54</v>
      </c>
      <c r="I37" s="30" t="s">
        <v>54</v>
      </c>
      <c r="J37" s="41" t="s">
        <v>54</v>
      </c>
      <c r="K37" s="41" t="s">
        <v>54</v>
      </c>
      <c r="L37" s="41" t="s">
        <v>54</v>
      </c>
      <c r="M37" s="41" t="s">
        <v>54</v>
      </c>
      <c r="N37" s="42" t="s">
        <v>54</v>
      </c>
      <c r="P37" s="40" t="s">
        <v>39</v>
      </c>
      <c r="Q37" s="15">
        <v>43.9</v>
      </c>
    </row>
    <row r="38" ht="15.75" customHeight="1">
      <c r="A38" s="14" t="s">
        <v>55</v>
      </c>
      <c r="B38" s="35">
        <v>580.0</v>
      </c>
      <c r="C38" s="30">
        <v>580.0</v>
      </c>
      <c r="D38" s="30">
        <v>580.0</v>
      </c>
      <c r="E38" s="30">
        <v>580.0</v>
      </c>
      <c r="F38" s="34">
        <v>192.5</v>
      </c>
      <c r="G38" s="35">
        <v>192.5</v>
      </c>
      <c r="H38" s="35">
        <v>192.5</v>
      </c>
      <c r="I38" s="30">
        <v>192.5</v>
      </c>
      <c r="J38" s="30">
        <v>193.0</v>
      </c>
      <c r="K38" s="30">
        <v>193.0</v>
      </c>
      <c r="L38" s="30">
        <v>193.0</v>
      </c>
      <c r="M38" s="30">
        <v>193.0</v>
      </c>
      <c r="N38" s="30">
        <v>384.99</v>
      </c>
      <c r="Q38" s="5" t="s">
        <v>10</v>
      </c>
    </row>
    <row r="39" ht="15.75" customHeight="1">
      <c r="A39" s="14" t="s">
        <v>43</v>
      </c>
      <c r="B39" s="15">
        <v>450.0</v>
      </c>
      <c r="C39" s="30">
        <v>450.0</v>
      </c>
      <c r="D39" s="47">
        <v>450.0</v>
      </c>
      <c r="E39" s="30">
        <v>450.0</v>
      </c>
      <c r="F39" s="30" t="s">
        <v>54</v>
      </c>
      <c r="G39" s="30" t="s">
        <v>54</v>
      </c>
      <c r="H39" s="41"/>
      <c r="I39" s="43"/>
      <c r="J39" s="43"/>
      <c r="K39" s="30">
        <v>225.0</v>
      </c>
      <c r="L39" s="30">
        <v>225.0</v>
      </c>
      <c r="M39" s="30">
        <v>250.0</v>
      </c>
      <c r="N39" s="15"/>
    </row>
    <row r="40" ht="15.75" customHeight="1">
      <c r="A40" s="14" t="s">
        <v>45</v>
      </c>
      <c r="B40" s="15"/>
      <c r="C40" s="30"/>
      <c r="D40" s="47"/>
      <c r="E40" s="35"/>
      <c r="F40" s="30">
        <v>182.29</v>
      </c>
      <c r="G40" s="30">
        <v>186.35</v>
      </c>
      <c r="H40" s="30">
        <v>182.29</v>
      </c>
      <c r="I40" s="30">
        <v>182.29</v>
      </c>
      <c r="J40" s="30">
        <v>182.29</v>
      </c>
      <c r="K40" s="30">
        <v>186.35</v>
      </c>
      <c r="L40" s="30">
        <v>186.35</v>
      </c>
      <c r="M40" s="30">
        <v>186.23</v>
      </c>
      <c r="N40" s="32">
        <v>186.17</v>
      </c>
    </row>
    <row r="41" ht="15.75" customHeight="1">
      <c r="A41" s="14" t="s">
        <v>56</v>
      </c>
      <c r="B41" s="15"/>
      <c r="C41" s="30"/>
      <c r="D41" s="47"/>
      <c r="E41" s="35"/>
      <c r="F41" s="30"/>
      <c r="G41" s="30">
        <v>166.51</v>
      </c>
      <c r="H41" s="30">
        <v>166.51</v>
      </c>
      <c r="I41" s="43">
        <v>166.51</v>
      </c>
      <c r="J41" s="43">
        <v>166.51</v>
      </c>
      <c r="K41" s="43">
        <v>166.51</v>
      </c>
      <c r="L41" s="30">
        <v>166.59</v>
      </c>
      <c r="M41" s="30" t="s">
        <v>54</v>
      </c>
      <c r="N41" s="32" t="s">
        <v>54</v>
      </c>
    </row>
    <row r="42" ht="15.75" customHeight="1">
      <c r="A42" s="14" t="s">
        <v>46</v>
      </c>
      <c r="B42" s="15">
        <v>1500.0</v>
      </c>
      <c r="C42" s="30">
        <v>3405.86</v>
      </c>
      <c r="D42" s="35"/>
      <c r="E42" s="30" t="s">
        <v>57</v>
      </c>
      <c r="F42" s="30">
        <v>2881.59</v>
      </c>
      <c r="G42" s="30"/>
      <c r="H42" s="41"/>
      <c r="I42" s="43"/>
      <c r="J42" s="43"/>
      <c r="K42" s="41"/>
      <c r="L42" s="30"/>
      <c r="M42" s="30"/>
      <c r="N42" s="32">
        <v>3605.86</v>
      </c>
    </row>
    <row r="43" ht="15.75" customHeight="1">
      <c r="A43" s="14" t="s">
        <v>47</v>
      </c>
      <c r="B43" s="15"/>
      <c r="C43" s="30">
        <v>755.04</v>
      </c>
      <c r="D43" s="30">
        <v>664.09</v>
      </c>
      <c r="E43" s="41"/>
      <c r="F43" s="30"/>
      <c r="G43" s="30"/>
      <c r="H43" s="41"/>
      <c r="I43" s="43"/>
      <c r="J43" s="43"/>
      <c r="K43" s="41"/>
      <c r="L43" s="35"/>
      <c r="M43" s="30"/>
      <c r="N43" s="15"/>
    </row>
    <row r="44" ht="15.75" customHeight="1">
      <c r="A44" s="15">
        <f>SUM(B31:B42)</f>
        <v>4242</v>
      </c>
      <c r="C44" s="15">
        <f t="shared" ref="C44:D44" si="2">SUM(C31:C43)</f>
        <v>6808.35</v>
      </c>
      <c r="D44" s="15">
        <f t="shared" si="2"/>
        <v>3047.56</v>
      </c>
      <c r="E44" s="15">
        <f>SUM(E31:E42)</f>
        <v>2272.98</v>
      </c>
      <c r="F44" s="15"/>
      <c r="G44" s="15"/>
      <c r="H44" s="15"/>
      <c r="I44" s="15"/>
      <c r="J44" s="35"/>
      <c r="K44" s="15"/>
      <c r="L44" s="35"/>
      <c r="M44" s="15" t="s">
        <v>10</v>
      </c>
      <c r="N44" s="15">
        <f>SUM(N31:N33,N34,N35,N36,N38,N39,N40,N42)</f>
        <v>4694.2</v>
      </c>
    </row>
    <row r="45" ht="15.75" customHeight="1">
      <c r="E45" s="26"/>
    </row>
    <row r="46" ht="15.75" customHeight="1">
      <c r="E46" s="26"/>
    </row>
    <row r="47" ht="15.75" customHeight="1">
      <c r="A47" s="1" t="s">
        <v>58</v>
      </c>
      <c r="B47" s="2"/>
      <c r="C47" s="28"/>
      <c r="D47" s="28" t="s">
        <v>10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ht="15.75" customHeight="1">
      <c r="A48" s="6" t="s">
        <v>1</v>
      </c>
      <c r="B48" s="7" t="s">
        <v>2</v>
      </c>
      <c r="C48" s="7" t="s">
        <v>11</v>
      </c>
      <c r="D48" s="7" t="s">
        <v>12</v>
      </c>
      <c r="E48" s="7" t="s">
        <v>13</v>
      </c>
      <c r="F48" s="7" t="s">
        <v>14</v>
      </c>
      <c r="G48" s="7" t="s">
        <v>15</v>
      </c>
      <c r="H48" s="7" t="s">
        <v>16</v>
      </c>
      <c r="I48" s="7" t="s">
        <v>17</v>
      </c>
      <c r="J48" s="7" t="s">
        <v>18</v>
      </c>
      <c r="K48" s="7" t="s">
        <v>19</v>
      </c>
      <c r="L48" s="7" t="s">
        <v>20</v>
      </c>
      <c r="M48" s="7" t="s">
        <v>21</v>
      </c>
      <c r="N48" s="7" t="s">
        <v>22</v>
      </c>
    </row>
    <row r="49" ht="15.75" customHeight="1">
      <c r="A49" s="14" t="s">
        <v>50</v>
      </c>
      <c r="B49" s="15">
        <v>1400.0</v>
      </c>
      <c r="C49" s="48">
        <v>1400.0</v>
      </c>
      <c r="D49" s="49">
        <v>1400.0</v>
      </c>
      <c r="E49" s="49">
        <v>1400.0</v>
      </c>
      <c r="F49" s="49">
        <v>1400.0</v>
      </c>
      <c r="G49" s="32">
        <v>1400.0</v>
      </c>
      <c r="H49" s="32">
        <v>1400.0</v>
      </c>
      <c r="I49" s="32">
        <v>1400.0</v>
      </c>
      <c r="J49" s="32">
        <v>1400.0</v>
      </c>
      <c r="K49" s="50">
        <v>1400.0</v>
      </c>
      <c r="L49" s="32">
        <v>1400.0</v>
      </c>
      <c r="M49" s="32">
        <v>1400.0</v>
      </c>
      <c r="N49" s="32">
        <v>1400.0</v>
      </c>
    </row>
    <row r="50" ht="15.75" customHeight="1">
      <c r="A50" s="14" t="s">
        <v>59</v>
      </c>
      <c r="B50" s="15">
        <v>500.0</v>
      </c>
      <c r="C50" s="48"/>
      <c r="D50" s="32">
        <v>500.0</v>
      </c>
      <c r="E50" s="32">
        <v>500.0</v>
      </c>
      <c r="F50" s="32">
        <v>500.0</v>
      </c>
      <c r="G50" s="32">
        <v>500.0</v>
      </c>
      <c r="H50" s="32">
        <v>500.0</v>
      </c>
      <c r="I50" s="32" t="s">
        <v>60</v>
      </c>
      <c r="J50" s="32">
        <v>470.0</v>
      </c>
      <c r="K50" s="32">
        <v>212.0</v>
      </c>
      <c r="L50" s="32">
        <v>500.0</v>
      </c>
      <c r="M50" s="32">
        <v>500.0</v>
      </c>
      <c r="N50" s="32">
        <v>500.0</v>
      </c>
    </row>
    <row r="51" ht="15.75" customHeight="1">
      <c r="A51" s="14" t="s">
        <v>24</v>
      </c>
      <c r="B51" s="15">
        <v>56.0</v>
      </c>
      <c r="C51" s="51">
        <v>83.89</v>
      </c>
      <c r="D51" s="30">
        <v>268.09</v>
      </c>
      <c r="E51" s="41">
        <v>275.0</v>
      </c>
      <c r="F51" s="35">
        <v>268.02</v>
      </c>
      <c r="G51" s="35">
        <v>280.0</v>
      </c>
      <c r="H51" s="32"/>
      <c r="I51" s="32">
        <v>59.24</v>
      </c>
      <c r="J51" s="32">
        <v>54.75</v>
      </c>
      <c r="K51" s="32">
        <v>62.78</v>
      </c>
      <c r="L51" s="32">
        <v>54.77</v>
      </c>
      <c r="M51" s="32">
        <v>54.95</v>
      </c>
      <c r="N51" s="32">
        <v>54.73</v>
      </c>
    </row>
    <row r="52" ht="15.75" customHeight="1">
      <c r="A52" s="14" t="s">
        <v>26</v>
      </c>
      <c r="B52" s="15">
        <v>126.0</v>
      </c>
      <c r="C52" s="48">
        <v>125.05</v>
      </c>
      <c r="D52" s="43">
        <v>125.05</v>
      </c>
      <c r="E52" s="34">
        <v>125.05</v>
      </c>
      <c r="F52" s="34">
        <v>125.05</v>
      </c>
      <c r="G52" s="30">
        <v>125.05</v>
      </c>
      <c r="H52" s="30">
        <v>125.05</v>
      </c>
      <c r="I52" s="32" t="s">
        <v>61</v>
      </c>
      <c r="J52" s="32" t="s">
        <v>61</v>
      </c>
      <c r="K52" s="32">
        <v>131.25</v>
      </c>
      <c r="L52" s="32">
        <v>124.99</v>
      </c>
      <c r="M52" s="32">
        <v>99.0</v>
      </c>
      <c r="N52" s="32">
        <v>99.9</v>
      </c>
    </row>
    <row r="53" ht="15.75" customHeight="1">
      <c r="A53" s="14" t="s">
        <v>28</v>
      </c>
      <c r="B53" s="15">
        <v>980.0</v>
      </c>
      <c r="C53" s="52">
        <v>812.49</v>
      </c>
      <c r="D53" s="34">
        <v>393.95</v>
      </c>
      <c r="E53" s="34">
        <v>774.89</v>
      </c>
      <c r="F53" s="34">
        <v>764.59</v>
      </c>
      <c r="G53" s="30">
        <v>946.24</v>
      </c>
      <c r="H53" s="30">
        <v>806.48</v>
      </c>
      <c r="I53" s="32">
        <v>913.12</v>
      </c>
      <c r="J53" s="32">
        <v>852.5</v>
      </c>
      <c r="K53" s="32">
        <v>938.32</v>
      </c>
      <c r="L53" s="32">
        <v>859.66</v>
      </c>
      <c r="M53" s="32">
        <v>817.08</v>
      </c>
      <c r="N53" s="32">
        <v>790.02</v>
      </c>
    </row>
    <row r="54" ht="15.75" customHeight="1">
      <c r="A54" s="14" t="s">
        <v>30</v>
      </c>
      <c r="B54" s="15">
        <v>40.0</v>
      </c>
      <c r="C54" s="52"/>
      <c r="D54" s="34"/>
      <c r="E54" s="34"/>
      <c r="F54" s="30">
        <v>53.0</v>
      </c>
      <c r="G54" s="30">
        <v>62.73</v>
      </c>
      <c r="H54" s="32">
        <v>58.15</v>
      </c>
      <c r="I54" s="32">
        <v>46.84</v>
      </c>
      <c r="J54" s="32">
        <v>62.4</v>
      </c>
      <c r="K54" s="32">
        <v>60.0</v>
      </c>
      <c r="L54" s="32">
        <v>45.64</v>
      </c>
      <c r="M54" s="32">
        <v>88.44</v>
      </c>
      <c r="N54" s="32">
        <v>42.21</v>
      </c>
    </row>
    <row r="55" ht="15.75" customHeight="1">
      <c r="A55" s="14" t="s">
        <v>32</v>
      </c>
      <c r="B55" s="15">
        <v>200.0</v>
      </c>
      <c r="C55" s="52">
        <v>211.33</v>
      </c>
      <c r="D55" s="34">
        <v>126.63</v>
      </c>
      <c r="E55" s="34">
        <v>153.69</v>
      </c>
      <c r="F55" s="34">
        <v>220.56</v>
      </c>
      <c r="G55" s="30">
        <v>186.92</v>
      </c>
      <c r="H55" s="37" t="s">
        <v>62</v>
      </c>
      <c r="I55" s="32">
        <v>189.42</v>
      </c>
      <c r="J55" s="32">
        <v>192.36</v>
      </c>
      <c r="K55" s="32">
        <v>179.03</v>
      </c>
      <c r="L55" s="32">
        <v>200.0</v>
      </c>
      <c r="M55" s="32">
        <v>209.44</v>
      </c>
      <c r="N55" s="32">
        <v>191.54</v>
      </c>
    </row>
    <row r="56" ht="15.75" customHeight="1">
      <c r="A56" s="14" t="s">
        <v>63</v>
      </c>
      <c r="B56" s="35">
        <v>200.0</v>
      </c>
      <c r="C56" s="53"/>
      <c r="D56" s="41"/>
      <c r="E56" s="34"/>
      <c r="F56" s="43"/>
      <c r="G56" s="30"/>
      <c r="H56" s="30"/>
      <c r="I56" s="43"/>
      <c r="J56" s="30">
        <v>200.0</v>
      </c>
      <c r="K56" s="32">
        <v>200.0</v>
      </c>
      <c r="L56" s="32">
        <v>200.0</v>
      </c>
      <c r="M56" s="30">
        <v>200.0</v>
      </c>
      <c r="N56" s="30">
        <v>200.0</v>
      </c>
    </row>
    <row r="57" ht="15.75" customHeight="1">
      <c r="A57" s="14" t="s">
        <v>34</v>
      </c>
      <c r="B57" s="35">
        <v>50.0</v>
      </c>
      <c r="C57" s="53"/>
      <c r="D57" s="41"/>
      <c r="E57" s="34"/>
      <c r="F57" s="30"/>
      <c r="G57" s="30"/>
      <c r="H57" s="30"/>
      <c r="I57" s="30"/>
      <c r="J57" s="30"/>
      <c r="K57" s="32"/>
      <c r="L57" s="50"/>
      <c r="M57" s="30">
        <v>170.0</v>
      </c>
      <c r="N57" s="35" t="s">
        <v>64</v>
      </c>
    </row>
    <row r="58" ht="15.75" customHeight="1">
      <c r="A58" s="14" t="s">
        <v>65</v>
      </c>
      <c r="B58" s="35">
        <v>200.0</v>
      </c>
      <c r="C58" s="53"/>
      <c r="D58" s="41"/>
      <c r="E58" s="34"/>
      <c r="F58" s="34">
        <v>200.0</v>
      </c>
      <c r="G58" s="30">
        <v>200.0</v>
      </c>
      <c r="H58" s="30">
        <v>200.0</v>
      </c>
      <c r="I58" s="30">
        <v>200.0</v>
      </c>
      <c r="J58" s="30">
        <v>200.0</v>
      </c>
      <c r="K58" s="32">
        <v>200.0</v>
      </c>
      <c r="L58" s="32">
        <v>200.0</v>
      </c>
      <c r="M58" s="30">
        <v>200.0</v>
      </c>
      <c r="N58" s="30">
        <v>200.0</v>
      </c>
    </row>
    <row r="59" ht="15.75" customHeight="1">
      <c r="A59" s="14" t="s">
        <v>38</v>
      </c>
      <c r="B59" s="35">
        <v>260.0</v>
      </c>
      <c r="C59" s="53"/>
      <c r="D59" s="41"/>
      <c r="E59" s="34"/>
      <c r="F59" s="34"/>
      <c r="G59" s="30">
        <v>100.0</v>
      </c>
      <c r="H59" s="30">
        <v>260.0</v>
      </c>
      <c r="I59" s="30">
        <v>260.0</v>
      </c>
      <c r="J59" s="41"/>
      <c r="K59" s="32">
        <v>300.0</v>
      </c>
      <c r="L59" s="32">
        <v>300.0</v>
      </c>
      <c r="M59" s="35" t="s">
        <v>54</v>
      </c>
      <c r="N59" s="41"/>
    </row>
    <row r="60" ht="15.75" customHeight="1">
      <c r="A60" s="14" t="s">
        <v>66</v>
      </c>
      <c r="B60" s="35">
        <v>250.0</v>
      </c>
      <c r="C60" s="41"/>
      <c r="D60" s="41"/>
      <c r="E60" s="34"/>
      <c r="F60" s="34"/>
      <c r="G60" s="30"/>
      <c r="H60" s="35"/>
      <c r="I60" s="43">
        <v>250.0</v>
      </c>
      <c r="J60" s="32">
        <v>250.0</v>
      </c>
      <c r="K60" s="32" t="s">
        <v>67</v>
      </c>
      <c r="L60" s="32">
        <v>250.0</v>
      </c>
      <c r="M60" s="30">
        <v>250.0</v>
      </c>
      <c r="N60" s="30">
        <v>250.0</v>
      </c>
    </row>
    <row r="61" ht="15.75" customHeight="1">
      <c r="A61" s="14" t="s">
        <v>68</v>
      </c>
      <c r="B61" s="35">
        <v>600.0</v>
      </c>
      <c r="C61" s="41"/>
      <c r="D61" s="41"/>
      <c r="E61" s="34"/>
      <c r="F61" s="34">
        <v>536.0</v>
      </c>
      <c r="G61" s="30">
        <v>600.0</v>
      </c>
      <c r="H61" s="41"/>
      <c r="I61" s="41" t="s">
        <v>54</v>
      </c>
      <c r="J61" s="41" t="s">
        <v>54</v>
      </c>
      <c r="K61" s="15"/>
      <c r="L61" s="50"/>
      <c r="M61" s="30">
        <v>450.0</v>
      </c>
      <c r="N61" s="41"/>
    </row>
    <row r="62" ht="15.75" customHeight="1">
      <c r="A62" s="14" t="s">
        <v>55</v>
      </c>
      <c r="B62" s="35">
        <v>580.0</v>
      </c>
      <c r="C62" s="41"/>
      <c r="D62" s="41"/>
      <c r="E62" s="34"/>
      <c r="F62" s="34"/>
      <c r="G62" s="30"/>
      <c r="H62" s="41"/>
      <c r="I62" s="41"/>
      <c r="J62" s="41"/>
      <c r="K62" s="15"/>
      <c r="L62" s="50"/>
      <c r="M62" s="30">
        <v>580.0</v>
      </c>
      <c r="N62" s="30">
        <v>580.0</v>
      </c>
    </row>
    <row r="63" ht="15.75" customHeight="1">
      <c r="A63" s="14" t="s">
        <v>43</v>
      </c>
      <c r="B63" s="15">
        <v>450.0</v>
      </c>
      <c r="C63" s="41"/>
      <c r="D63" s="41"/>
      <c r="E63" s="41"/>
      <c r="F63" s="30"/>
      <c r="G63" s="30"/>
      <c r="H63" s="41"/>
      <c r="I63" s="43"/>
      <c r="J63" s="43"/>
      <c r="K63" s="41"/>
      <c r="L63" s="30">
        <v>750.0</v>
      </c>
      <c r="M63" s="30">
        <v>450.0</v>
      </c>
      <c r="N63" s="32">
        <v>450.0</v>
      </c>
    </row>
    <row r="64" ht="15.75" customHeight="1">
      <c r="A64" s="14" t="s">
        <v>46</v>
      </c>
      <c r="B64" s="15">
        <v>1500.0</v>
      </c>
      <c r="C64" s="41"/>
      <c r="D64" s="41"/>
      <c r="E64" s="41"/>
      <c r="F64" s="30"/>
      <c r="G64" s="30"/>
      <c r="H64" s="41"/>
      <c r="I64" s="43"/>
      <c r="J64" s="43"/>
      <c r="K64" s="41"/>
      <c r="L64" s="30">
        <v>1250.0</v>
      </c>
      <c r="M64" s="30">
        <v>3326.0</v>
      </c>
      <c r="N64" s="32">
        <v>3570.42</v>
      </c>
    </row>
    <row r="65" ht="15.75" customHeight="1">
      <c r="A65" s="14" t="s">
        <v>47</v>
      </c>
      <c r="B65" s="15"/>
      <c r="C65" s="41"/>
      <c r="D65" s="41"/>
      <c r="E65" s="41"/>
      <c r="F65" s="30"/>
      <c r="G65" s="30"/>
      <c r="H65" s="41"/>
      <c r="I65" s="43"/>
      <c r="J65" s="43"/>
      <c r="K65" s="41"/>
      <c r="L65" s="35"/>
      <c r="M65" s="30">
        <v>566.04</v>
      </c>
      <c r="N65" s="32">
        <v>700.0</v>
      </c>
    </row>
    <row r="66" ht="15.75" customHeight="1">
      <c r="A66" s="23" t="s">
        <v>8</v>
      </c>
      <c r="B66" s="15">
        <f t="shared" ref="B66:H66" si="3">SUM(B49:B64)</f>
        <v>7392</v>
      </c>
      <c r="C66" s="15">
        <f t="shared" si="3"/>
        <v>2632.76</v>
      </c>
      <c r="D66" s="15">
        <f t="shared" si="3"/>
        <v>2813.72</v>
      </c>
      <c r="E66" s="15">
        <f t="shared" si="3"/>
        <v>3228.63</v>
      </c>
      <c r="F66" s="15">
        <f t="shared" si="3"/>
        <v>4067.22</v>
      </c>
      <c r="G66" s="15">
        <f t="shared" si="3"/>
        <v>4400.94</v>
      </c>
      <c r="H66" s="15">
        <f t="shared" si="3"/>
        <v>3349.68</v>
      </c>
      <c r="I66" s="15">
        <f>SUM(I49:I55)</f>
        <v>2608.62</v>
      </c>
      <c r="J66" s="35">
        <f>SUM(J49:J64)</f>
        <v>3682.01</v>
      </c>
      <c r="K66" s="15">
        <f>SUM(K49:K59)</f>
        <v>3683.38</v>
      </c>
      <c r="L66" s="35">
        <f>SUM(L49:L64)</f>
        <v>6135.06</v>
      </c>
      <c r="M66" s="15">
        <f t="shared" ref="M66:N66" si="4">SUM(M49:M65)</f>
        <v>9360.95</v>
      </c>
      <c r="N66" s="15">
        <f t="shared" si="4"/>
        <v>9028.82</v>
      </c>
    </row>
    <row r="67" ht="15.75" customHeight="1">
      <c r="E67" s="26"/>
    </row>
    <row r="68" ht="15.75" customHeight="1">
      <c r="E68" s="26"/>
    </row>
    <row r="69" ht="15.75" customHeight="1">
      <c r="E69" s="26"/>
    </row>
    <row r="70" ht="15.75" customHeight="1"/>
    <row r="71" ht="15.75" customHeight="1">
      <c r="A71" s="1" t="s">
        <v>69</v>
      </c>
      <c r="B71" s="2"/>
    </row>
    <row r="72" ht="15.75" customHeight="1">
      <c r="A72" s="6" t="s">
        <v>1</v>
      </c>
      <c r="B72" s="7" t="s">
        <v>2</v>
      </c>
      <c r="C72" s="7"/>
      <c r="D72" s="54" t="s">
        <v>12</v>
      </c>
      <c r="E72" s="54" t="s">
        <v>13</v>
      </c>
      <c r="F72" s="54" t="s">
        <v>14</v>
      </c>
      <c r="G72" s="54" t="s">
        <v>15</v>
      </c>
      <c r="H72" s="54" t="s">
        <v>16</v>
      </c>
      <c r="I72" s="54" t="s">
        <v>17</v>
      </c>
      <c r="J72" s="54" t="s">
        <v>18</v>
      </c>
      <c r="K72" s="54" t="s">
        <v>19</v>
      </c>
      <c r="L72" s="54" t="s">
        <v>20</v>
      </c>
      <c r="M72" s="54" t="s">
        <v>21</v>
      </c>
      <c r="N72" s="54" t="s">
        <v>22</v>
      </c>
    </row>
    <row r="73" ht="15.75" customHeight="1">
      <c r="A73" s="14" t="s">
        <v>50</v>
      </c>
      <c r="B73" s="15">
        <v>1400.0</v>
      </c>
      <c r="C73" s="32"/>
      <c r="D73" s="32">
        <v>1800.0</v>
      </c>
      <c r="E73" s="15">
        <v>1800.0</v>
      </c>
      <c r="F73" s="32">
        <v>1400.0</v>
      </c>
      <c r="G73" s="32">
        <v>1250.0</v>
      </c>
      <c r="H73" s="32">
        <v>1400.0</v>
      </c>
      <c r="I73" s="32">
        <v>1400.0</v>
      </c>
      <c r="J73" s="32">
        <v>1400.0</v>
      </c>
      <c r="K73" s="32">
        <v>1400.0</v>
      </c>
      <c r="L73" s="32">
        <v>1400.0</v>
      </c>
      <c r="M73" s="50">
        <v>1400.0</v>
      </c>
      <c r="N73" s="55">
        <v>1400.0</v>
      </c>
      <c r="O73" s="56"/>
    </row>
    <row r="74" ht="15.75" customHeight="1">
      <c r="A74" s="14" t="s">
        <v>70</v>
      </c>
      <c r="B74" s="15">
        <v>83.0</v>
      </c>
      <c r="C74" s="32"/>
      <c r="D74" s="32">
        <v>77.0</v>
      </c>
      <c r="E74" s="32">
        <v>77.0</v>
      </c>
      <c r="F74" s="32">
        <v>78.0</v>
      </c>
      <c r="G74" s="32">
        <v>80.0</v>
      </c>
      <c r="H74" s="32">
        <v>83.0</v>
      </c>
      <c r="I74" s="32">
        <v>82.0</v>
      </c>
      <c r="J74" s="32">
        <v>73.0</v>
      </c>
      <c r="K74" s="50">
        <v>75.0</v>
      </c>
      <c r="L74" s="32">
        <v>83.0</v>
      </c>
      <c r="M74" s="32">
        <v>75.0</v>
      </c>
      <c r="N74" s="55">
        <v>83.0</v>
      </c>
      <c r="O74" s="56"/>
    </row>
    <row r="75" ht="15.75" customHeight="1">
      <c r="A75" s="14" t="s">
        <v>37</v>
      </c>
      <c r="B75" s="15">
        <v>500.0</v>
      </c>
      <c r="C75" s="15"/>
      <c r="D75" s="15"/>
      <c r="E75" s="32">
        <v>300.0</v>
      </c>
      <c r="F75" s="32">
        <v>300.0</v>
      </c>
      <c r="G75" s="32">
        <v>200.0</v>
      </c>
      <c r="H75" s="32">
        <v>200.0</v>
      </c>
      <c r="I75" s="32">
        <v>300.0</v>
      </c>
      <c r="J75" s="32">
        <v>300.0</v>
      </c>
      <c r="K75" s="15">
        <v>600.0</v>
      </c>
      <c r="L75" s="32">
        <v>500.0</v>
      </c>
      <c r="M75" s="32">
        <v>500.0</v>
      </c>
      <c r="N75" s="15">
        <v>300.0</v>
      </c>
      <c r="O75" s="56"/>
    </row>
    <row r="76" ht="15.75" customHeight="1">
      <c r="A76" s="14" t="s">
        <v>71</v>
      </c>
      <c r="B76" s="15">
        <v>699.0</v>
      </c>
      <c r="C76" s="32"/>
      <c r="D76" s="32"/>
      <c r="E76" s="57"/>
      <c r="F76" s="32"/>
      <c r="G76" s="32"/>
      <c r="H76" s="32">
        <v>83.89</v>
      </c>
      <c r="I76" s="32">
        <v>83.89</v>
      </c>
      <c r="J76" s="32">
        <v>83.89</v>
      </c>
      <c r="K76" s="50">
        <v>83.89</v>
      </c>
      <c r="L76" s="57">
        <v>185.0</v>
      </c>
      <c r="M76" s="55">
        <v>84.47</v>
      </c>
      <c r="N76" s="55">
        <v>83.89</v>
      </c>
    </row>
    <row r="77" ht="15.75" customHeight="1">
      <c r="A77" s="14" t="s">
        <v>26</v>
      </c>
      <c r="B77" s="15">
        <v>126.0</v>
      </c>
      <c r="C77" s="32"/>
      <c r="D77" s="32"/>
      <c r="E77" s="57"/>
      <c r="F77" s="32"/>
      <c r="G77" s="32"/>
      <c r="H77" s="32">
        <v>25.26</v>
      </c>
      <c r="I77" s="32">
        <v>126.31</v>
      </c>
      <c r="J77" s="32">
        <v>126.31</v>
      </c>
      <c r="K77" s="32">
        <v>125.05</v>
      </c>
      <c r="L77" s="50">
        <v>124.99</v>
      </c>
      <c r="M77" s="32">
        <v>125.05</v>
      </c>
      <c r="N77" s="55">
        <v>125.05</v>
      </c>
      <c r="O77" s="56"/>
    </row>
    <row r="78" ht="15.75" customHeight="1">
      <c r="A78" s="14" t="s">
        <v>72</v>
      </c>
      <c r="B78" s="15">
        <v>980.0</v>
      </c>
      <c r="C78" s="32"/>
      <c r="D78" s="32"/>
      <c r="E78" s="57"/>
      <c r="F78" s="32"/>
      <c r="G78" s="32"/>
      <c r="H78" s="32"/>
      <c r="I78" s="32">
        <v>85.41</v>
      </c>
      <c r="J78" s="15" t="s">
        <v>54</v>
      </c>
      <c r="K78" s="32">
        <v>1007.0</v>
      </c>
      <c r="L78" s="50">
        <v>975.0</v>
      </c>
      <c r="M78" s="32">
        <v>930.91</v>
      </c>
      <c r="N78" s="55">
        <v>873.79</v>
      </c>
      <c r="O78" s="56"/>
    </row>
    <row r="79" ht="15.75" customHeight="1">
      <c r="A79" s="14" t="s">
        <v>32</v>
      </c>
      <c r="B79" s="15">
        <v>150.0</v>
      </c>
      <c r="C79" s="32"/>
      <c r="D79" s="32"/>
      <c r="E79" s="57"/>
      <c r="F79" s="32"/>
      <c r="G79" s="32"/>
      <c r="H79" s="32"/>
      <c r="I79" s="32">
        <v>127.65</v>
      </c>
      <c r="J79" s="32">
        <v>124.38</v>
      </c>
      <c r="K79" s="32" t="s">
        <v>73</v>
      </c>
      <c r="L79" s="50">
        <v>194.0</v>
      </c>
      <c r="M79" s="32">
        <v>199.0</v>
      </c>
      <c r="N79" s="55">
        <v>226.14</v>
      </c>
      <c r="O79" s="56"/>
    </row>
    <row r="80" ht="15.75" customHeight="1">
      <c r="A80" s="14" t="s">
        <v>74</v>
      </c>
      <c r="B80" s="15"/>
      <c r="C80" s="32"/>
      <c r="D80" s="32"/>
      <c r="E80" s="57"/>
      <c r="F80" s="32"/>
      <c r="G80" s="32"/>
      <c r="H80" s="32"/>
      <c r="I80" s="32"/>
      <c r="J80" s="32"/>
      <c r="K80" s="15">
        <v>1000.0</v>
      </c>
      <c r="L80" s="50">
        <v>500.0</v>
      </c>
      <c r="M80" s="15"/>
      <c r="N80" s="15"/>
      <c r="O80" s="5"/>
    </row>
    <row r="81" ht="15.75" customHeight="1">
      <c r="A81" s="14" t="s">
        <v>46</v>
      </c>
      <c r="B81" s="15"/>
      <c r="C81" s="32"/>
      <c r="D81" s="32"/>
      <c r="E81" s="57"/>
      <c r="F81" s="32"/>
      <c r="G81" s="32"/>
      <c r="H81" s="32"/>
      <c r="I81" s="32"/>
      <c r="J81" s="32"/>
      <c r="K81" s="15"/>
      <c r="L81" s="50"/>
      <c r="M81" s="15"/>
      <c r="N81" s="15">
        <v>1873.79</v>
      </c>
    </row>
    <row r="82" ht="15.75" customHeight="1">
      <c r="A82" s="14" t="s">
        <v>75</v>
      </c>
      <c r="B82" s="15">
        <v>1139.0</v>
      </c>
      <c r="C82" s="32"/>
      <c r="D82" s="32"/>
      <c r="E82" s="57"/>
      <c r="F82" s="32"/>
      <c r="G82" s="32"/>
      <c r="H82" s="32"/>
      <c r="I82" s="32"/>
      <c r="J82" s="32"/>
      <c r="K82" s="15"/>
      <c r="L82" s="15"/>
      <c r="M82" s="55">
        <v>379.69</v>
      </c>
      <c r="N82" s="55">
        <v>379.69</v>
      </c>
      <c r="O82" s="5"/>
    </row>
    <row r="83" ht="15.75" customHeight="1">
      <c r="A83" s="23" t="s">
        <v>8</v>
      </c>
      <c r="B83" s="15">
        <f>SUM(B73:B82)</f>
        <v>5077</v>
      </c>
      <c r="C83" s="15"/>
      <c r="D83" s="15">
        <f t="shared" ref="D83:G83" si="5">SUM(D73:D75)</f>
        <v>1877</v>
      </c>
      <c r="E83" s="15">
        <f t="shared" si="5"/>
        <v>2177</v>
      </c>
      <c r="F83" s="15">
        <f t="shared" si="5"/>
        <v>1778</v>
      </c>
      <c r="G83" s="15">
        <f t="shared" si="5"/>
        <v>1530</v>
      </c>
      <c r="H83" s="15">
        <f>SUM(H73:H77)</f>
        <v>1792.15</v>
      </c>
      <c r="I83" s="15">
        <f>SUM(I73:I79)</f>
        <v>2205.26</v>
      </c>
      <c r="J83" s="15"/>
      <c r="K83" s="15">
        <f>SUM(K73:K80)</f>
        <v>4290.94</v>
      </c>
      <c r="L83" s="15"/>
      <c r="M83" s="15">
        <f t="shared" ref="M83:O83" si="6">SUM(M73:M82)</f>
        <v>3694.12</v>
      </c>
      <c r="N83" s="15">
        <f t="shared" si="6"/>
        <v>5345.35</v>
      </c>
      <c r="O83" s="5">
        <f t="shared" si="6"/>
        <v>0</v>
      </c>
    </row>
    <row r="84" ht="15.75" customHeight="1">
      <c r="N84" s="5"/>
    </row>
    <row r="85" ht="15.75" customHeight="1">
      <c r="A85" s="12"/>
      <c r="B85" s="12"/>
      <c r="C85" s="12"/>
    </row>
    <row r="86" ht="15.75" customHeight="1">
      <c r="A86" s="11"/>
      <c r="B86" s="58"/>
      <c r="C86" s="12"/>
      <c r="D86" s="12"/>
      <c r="E86" s="12"/>
      <c r="F86" s="12"/>
    </row>
    <row r="87" ht="15.75" customHeight="1">
      <c r="A87" s="8"/>
      <c r="B87" s="8"/>
      <c r="C87" s="12"/>
      <c r="D87" s="12"/>
      <c r="E87" s="12"/>
      <c r="F87" s="12"/>
    </row>
    <row r="88" ht="15.75" customHeight="1">
      <c r="A88" s="21"/>
      <c r="B88" s="22"/>
      <c r="C88" s="12"/>
      <c r="D88" s="12"/>
      <c r="E88" s="12"/>
      <c r="F88" s="12"/>
    </row>
    <row r="89" ht="15.75" customHeight="1">
      <c r="A89" s="21"/>
      <c r="B89" s="22"/>
      <c r="C89" s="12"/>
      <c r="D89" s="12"/>
      <c r="E89" s="12"/>
      <c r="F89" s="12"/>
    </row>
    <row r="90" ht="15.75" customHeight="1">
      <c r="A90" s="21"/>
      <c r="B90" s="22"/>
      <c r="C90" s="12"/>
      <c r="D90" s="12"/>
      <c r="E90" s="12"/>
      <c r="F90" s="12"/>
    </row>
    <row r="91" ht="15.75" customHeight="1">
      <c r="A91" s="21"/>
      <c r="B91" s="22"/>
      <c r="C91" s="12"/>
      <c r="D91" s="12"/>
      <c r="E91" s="12"/>
      <c r="F91" s="12"/>
    </row>
    <row r="92" ht="15.75" customHeight="1">
      <c r="A92" s="21"/>
      <c r="B92" s="22"/>
      <c r="C92" s="12"/>
      <c r="D92" s="12"/>
      <c r="E92" s="12"/>
      <c r="F92" s="12"/>
    </row>
    <row r="93" ht="15.75" customHeight="1">
      <c r="A93" s="21"/>
      <c r="B93" s="22"/>
      <c r="C93" s="12"/>
      <c r="D93" s="12"/>
      <c r="E93" s="12"/>
      <c r="F93" s="12"/>
    </row>
    <row r="94" ht="15.75" customHeight="1">
      <c r="A94" s="21"/>
      <c r="B94" s="22"/>
      <c r="C94" s="12"/>
      <c r="D94" s="12"/>
      <c r="E94" s="12"/>
      <c r="F94" s="12"/>
    </row>
    <row r="95" ht="15.75" customHeight="1">
      <c r="A95" s="27"/>
      <c r="B95" s="2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59"/>
      <c r="C97" s="59"/>
      <c r="D97" s="59"/>
      <c r="E97" s="59"/>
      <c r="F97" s="59"/>
    </row>
    <row r="98" ht="15.75" customHeight="1">
      <c r="A98" s="59" t="s">
        <v>76</v>
      </c>
      <c r="B98" s="60"/>
      <c r="C98" s="61"/>
      <c r="D98" s="61"/>
      <c r="E98" s="61"/>
      <c r="F98" s="62"/>
      <c r="H98" s="63"/>
    </row>
    <row r="99" ht="15.75" customHeight="1">
      <c r="A99" s="64" t="s">
        <v>77</v>
      </c>
      <c r="B99" s="22"/>
      <c r="C99" s="22"/>
      <c r="D99" s="22"/>
      <c r="E99" s="65"/>
      <c r="F99" s="12"/>
      <c r="H99" s="12"/>
    </row>
    <row r="100" ht="15.75" customHeight="1">
      <c r="A100" s="64" t="s">
        <v>78</v>
      </c>
      <c r="B100" s="22"/>
      <c r="C100" s="66"/>
      <c r="D100" s="66"/>
      <c r="E100" s="65"/>
      <c r="F100" s="22"/>
    </row>
    <row r="101" ht="15.75" customHeight="1">
      <c r="A101" s="64" t="s">
        <v>79</v>
      </c>
      <c r="B101" s="22"/>
      <c r="C101" s="66"/>
      <c r="D101" s="66"/>
      <c r="E101" s="65"/>
      <c r="F101" s="12"/>
    </row>
    <row r="102" ht="15.75" customHeight="1">
      <c r="A102" s="64" t="s">
        <v>80</v>
      </c>
      <c r="B102" s="22"/>
      <c r="C102" s="66"/>
      <c r="D102" s="66"/>
      <c r="E102" s="65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7:B47"/>
    <mergeCell ref="A71:B71"/>
    <mergeCell ref="A86:B86"/>
    <mergeCell ref="A1:B1"/>
    <mergeCell ref="P2:Q2"/>
    <mergeCell ref="P3:Q4"/>
    <mergeCell ref="A8:B8"/>
    <mergeCell ref="P9:Q9"/>
    <mergeCell ref="A29:B29"/>
    <mergeCell ref="P30:Q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14" width="12.0"/>
    <col customWidth="1" min="15" max="15" width="8.63"/>
    <col customWidth="1" min="16" max="27" width="12.0"/>
  </cols>
  <sheetData>
    <row r="1">
      <c r="A1" s="67" t="s">
        <v>81</v>
      </c>
      <c r="O1" s="68"/>
      <c r="P1" s="67" t="s">
        <v>82</v>
      </c>
    </row>
    <row r="2">
      <c r="A2" s="69" t="s">
        <v>83</v>
      </c>
      <c r="O2" s="68"/>
      <c r="P2" s="69" t="s">
        <v>84</v>
      </c>
    </row>
    <row r="3">
      <c r="A3" s="70" t="s">
        <v>1</v>
      </c>
      <c r="B3" s="71" t="s">
        <v>85</v>
      </c>
      <c r="C3" s="71" t="s">
        <v>11</v>
      </c>
      <c r="D3" s="71" t="s">
        <v>12</v>
      </c>
      <c r="E3" s="71" t="s">
        <v>13</v>
      </c>
      <c r="F3" s="71" t="s">
        <v>14</v>
      </c>
      <c r="G3" s="71" t="s">
        <v>15</v>
      </c>
      <c r="H3" s="71" t="s">
        <v>16</v>
      </c>
      <c r="I3" s="71" t="s">
        <v>17</v>
      </c>
      <c r="J3" s="71" t="s">
        <v>18</v>
      </c>
      <c r="K3" s="71" t="s">
        <v>19</v>
      </c>
      <c r="L3" s="71" t="s">
        <v>20</v>
      </c>
      <c r="M3" s="71" t="s">
        <v>21</v>
      </c>
      <c r="N3" s="72" t="s">
        <v>22</v>
      </c>
      <c r="O3" s="68"/>
      <c r="P3" s="70" t="s">
        <v>11</v>
      </c>
      <c r="Q3" s="71" t="s">
        <v>12</v>
      </c>
      <c r="R3" s="71" t="s">
        <v>13</v>
      </c>
      <c r="S3" s="71" t="s">
        <v>14</v>
      </c>
      <c r="T3" s="71" t="s">
        <v>15</v>
      </c>
      <c r="U3" s="71" t="s">
        <v>16</v>
      </c>
      <c r="V3" s="71" t="s">
        <v>17</v>
      </c>
      <c r="W3" s="71" t="s">
        <v>18</v>
      </c>
      <c r="X3" s="71" t="s">
        <v>19</v>
      </c>
      <c r="Y3" s="71" t="s">
        <v>20</v>
      </c>
      <c r="Z3" s="71" t="s">
        <v>21</v>
      </c>
      <c r="AA3" s="72" t="s">
        <v>22</v>
      </c>
    </row>
    <row r="4">
      <c r="A4" s="73" t="s">
        <v>24</v>
      </c>
      <c r="B4" s="74">
        <v>56.0</v>
      </c>
      <c r="C4" s="74">
        <v>54.79</v>
      </c>
      <c r="D4" s="74">
        <v>54.77</v>
      </c>
      <c r="E4" s="74">
        <v>54.79</v>
      </c>
      <c r="F4" s="74">
        <v>54.77</v>
      </c>
      <c r="G4" s="75">
        <v>54.75</v>
      </c>
      <c r="H4" s="75">
        <v>54.81</v>
      </c>
      <c r="I4" s="75">
        <v>54.81</v>
      </c>
      <c r="J4" s="74"/>
      <c r="K4" s="74"/>
      <c r="L4" s="74"/>
      <c r="M4" s="74"/>
      <c r="N4" s="76"/>
      <c r="O4" s="68"/>
      <c r="P4" s="77" t="s">
        <v>86</v>
      </c>
      <c r="Q4" s="78" t="s">
        <v>86</v>
      </c>
      <c r="R4" s="78" t="s">
        <v>86</v>
      </c>
      <c r="S4" s="78" t="s">
        <v>86</v>
      </c>
      <c r="T4" s="79" t="s">
        <v>86</v>
      </c>
      <c r="U4" s="79" t="s">
        <v>86</v>
      </c>
      <c r="V4" s="78"/>
      <c r="W4" s="78"/>
      <c r="X4" s="78"/>
      <c r="Y4" s="78"/>
      <c r="Z4" s="78"/>
      <c r="AA4" s="80"/>
    </row>
    <row r="5">
      <c r="A5" s="73" t="s">
        <v>28</v>
      </c>
      <c r="B5" s="74">
        <v>980.0</v>
      </c>
      <c r="C5" s="74">
        <v>0.0</v>
      </c>
      <c r="D5" s="74">
        <v>988.62</v>
      </c>
      <c r="E5" s="74">
        <v>988.62</v>
      </c>
      <c r="F5" s="74">
        <v>852.11</v>
      </c>
      <c r="G5" s="75">
        <v>860.37</v>
      </c>
      <c r="H5" s="75">
        <v>917.11</v>
      </c>
      <c r="I5" s="75">
        <v>917.11</v>
      </c>
      <c r="J5" s="74"/>
      <c r="K5" s="74"/>
      <c r="L5" s="74"/>
      <c r="M5" s="74"/>
      <c r="N5" s="76"/>
      <c r="O5" s="68"/>
      <c r="P5" s="77" t="s">
        <v>86</v>
      </c>
      <c r="Q5" s="78" t="s">
        <v>86</v>
      </c>
      <c r="R5" s="78" t="s">
        <v>86</v>
      </c>
      <c r="S5" s="78" t="s">
        <v>86</v>
      </c>
      <c r="T5" s="79" t="s">
        <v>86</v>
      </c>
      <c r="U5" s="79" t="s">
        <v>86</v>
      </c>
      <c r="V5" s="78"/>
      <c r="W5" s="78"/>
      <c r="X5" s="78"/>
      <c r="Y5" s="78"/>
      <c r="Z5" s="78"/>
      <c r="AA5" s="80"/>
    </row>
    <row r="6">
      <c r="A6" s="73" t="s">
        <v>32</v>
      </c>
      <c r="B6" s="74">
        <v>200.0</v>
      </c>
      <c r="C6" s="74">
        <v>264.6</v>
      </c>
      <c r="D6" s="74"/>
      <c r="E6" s="74">
        <v>264.6</v>
      </c>
      <c r="F6" s="74">
        <v>0.0</v>
      </c>
      <c r="G6" s="74"/>
      <c r="H6" s="75">
        <v>53.88</v>
      </c>
      <c r="I6" s="74"/>
      <c r="J6" s="74"/>
      <c r="K6" s="74"/>
      <c r="L6" s="74"/>
      <c r="M6" s="74"/>
      <c r="N6" s="76"/>
      <c r="O6" s="68"/>
      <c r="P6" s="77" t="s">
        <v>86</v>
      </c>
      <c r="Q6" s="78"/>
      <c r="R6" s="78" t="s">
        <v>86</v>
      </c>
      <c r="S6" s="78" t="s">
        <v>86</v>
      </c>
      <c r="T6" s="78"/>
      <c r="U6" s="79" t="s">
        <v>86</v>
      </c>
      <c r="V6" s="78"/>
      <c r="W6" s="78"/>
      <c r="X6" s="78"/>
      <c r="Y6" s="78"/>
      <c r="Z6" s="78"/>
      <c r="AA6" s="80"/>
    </row>
    <row r="7">
      <c r="A7" s="73" t="s">
        <v>34</v>
      </c>
      <c r="B7" s="74">
        <v>50.0</v>
      </c>
      <c r="C7" s="74">
        <v>56.97</v>
      </c>
      <c r="D7" s="74">
        <v>60.0</v>
      </c>
      <c r="E7" s="74">
        <v>60.0</v>
      </c>
      <c r="F7" s="74">
        <v>65.0</v>
      </c>
      <c r="G7" s="74">
        <v>65.0</v>
      </c>
      <c r="H7" s="75" t="s">
        <v>87</v>
      </c>
      <c r="I7" s="75">
        <v>65.0</v>
      </c>
      <c r="J7" s="74"/>
      <c r="K7" s="74"/>
      <c r="L7" s="74"/>
      <c r="M7" s="74"/>
      <c r="N7" s="76"/>
      <c r="O7" s="68"/>
      <c r="P7" s="77" t="s">
        <v>86</v>
      </c>
      <c r="Q7" s="79" t="s">
        <v>86</v>
      </c>
      <c r="R7" s="78" t="s">
        <v>86</v>
      </c>
      <c r="S7" s="79" t="s">
        <v>86</v>
      </c>
      <c r="T7" s="79" t="s">
        <v>86</v>
      </c>
      <c r="U7" s="79" t="s">
        <v>88</v>
      </c>
      <c r="V7" s="78"/>
      <c r="W7" s="78"/>
      <c r="X7" s="78"/>
      <c r="Y7" s="78"/>
      <c r="Z7" s="78"/>
      <c r="AA7" s="80"/>
    </row>
    <row r="8">
      <c r="A8" s="73" t="s">
        <v>38</v>
      </c>
      <c r="B8" s="74">
        <v>260.0</v>
      </c>
      <c r="C8" s="74">
        <v>0.0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6"/>
      <c r="O8" s="68"/>
      <c r="P8" s="77" t="s">
        <v>86</v>
      </c>
      <c r="Q8" s="78"/>
      <c r="R8" s="78"/>
      <c r="S8" s="78"/>
      <c r="T8" s="78"/>
      <c r="U8" s="79" t="s">
        <v>88</v>
      </c>
      <c r="V8" s="78"/>
      <c r="W8" s="78"/>
      <c r="X8" s="78"/>
      <c r="Y8" s="78"/>
      <c r="Z8" s="78"/>
      <c r="AA8" s="80"/>
    </row>
    <row r="9">
      <c r="A9" s="73" t="s">
        <v>41</v>
      </c>
      <c r="B9" s="74"/>
      <c r="C9" s="74"/>
      <c r="D9" s="74">
        <v>450.0</v>
      </c>
      <c r="E9" s="74">
        <v>450.0</v>
      </c>
      <c r="F9" s="74">
        <v>450.0</v>
      </c>
      <c r="G9" s="75">
        <v>450.0</v>
      </c>
      <c r="H9" s="75">
        <v>450.0</v>
      </c>
      <c r="I9" s="75">
        <v>450.0</v>
      </c>
      <c r="J9" s="74"/>
      <c r="K9" s="74"/>
      <c r="L9" s="74"/>
      <c r="M9" s="74"/>
      <c r="N9" s="76"/>
      <c r="O9" s="68"/>
      <c r="P9" s="77"/>
      <c r="Q9" s="78" t="s">
        <v>86</v>
      </c>
      <c r="R9" s="78" t="s">
        <v>86</v>
      </c>
      <c r="S9" s="78" t="s">
        <v>86</v>
      </c>
      <c r="T9" s="79" t="s">
        <v>86</v>
      </c>
      <c r="U9" s="79" t="s">
        <v>86</v>
      </c>
      <c r="V9" s="78"/>
      <c r="W9" s="78"/>
      <c r="X9" s="78"/>
      <c r="Y9" s="78"/>
      <c r="Z9" s="78"/>
      <c r="AA9" s="80"/>
    </row>
    <row r="10">
      <c r="A10" s="73" t="s">
        <v>42</v>
      </c>
      <c r="B10" s="74">
        <v>905.0</v>
      </c>
      <c r="C10" s="74">
        <v>905.0</v>
      </c>
      <c r="D10" s="74">
        <v>905.0</v>
      </c>
      <c r="E10" s="74">
        <v>905.0</v>
      </c>
      <c r="F10" s="74">
        <v>905.0</v>
      </c>
      <c r="G10" s="74">
        <v>905.0</v>
      </c>
      <c r="H10" s="75">
        <v>1011.0</v>
      </c>
      <c r="I10" s="74"/>
      <c r="J10" s="74"/>
      <c r="K10" s="74"/>
      <c r="L10" s="74"/>
      <c r="M10" s="74"/>
      <c r="N10" s="76"/>
      <c r="O10" s="68"/>
      <c r="P10" s="77" t="s">
        <v>86</v>
      </c>
      <c r="Q10" s="78" t="s">
        <v>86</v>
      </c>
      <c r="R10" s="78" t="s">
        <v>86</v>
      </c>
      <c r="S10" s="78" t="s">
        <v>86</v>
      </c>
      <c r="T10" s="78" t="s">
        <v>86</v>
      </c>
      <c r="U10" s="79" t="s">
        <v>86</v>
      </c>
      <c r="V10" s="78"/>
      <c r="W10" s="78"/>
      <c r="X10" s="78"/>
      <c r="Y10" s="78"/>
      <c r="Z10" s="78"/>
      <c r="AA10" s="80"/>
    </row>
    <row r="11">
      <c r="A11" s="73" t="s">
        <v>43</v>
      </c>
      <c r="B11" s="74">
        <v>450.0</v>
      </c>
      <c r="C11" s="81">
        <v>807.0</v>
      </c>
      <c r="D11" s="74">
        <v>807.0</v>
      </c>
      <c r="E11" s="74">
        <v>807.0</v>
      </c>
      <c r="F11" s="74"/>
      <c r="G11" s="74"/>
      <c r="H11" s="74"/>
      <c r="I11" s="74"/>
      <c r="J11" s="74"/>
      <c r="K11" s="74"/>
      <c r="L11" s="74"/>
      <c r="M11" s="74"/>
      <c r="N11" s="76"/>
      <c r="O11" s="68"/>
      <c r="P11" s="82" t="s">
        <v>86</v>
      </c>
      <c r="Q11" s="78" t="s">
        <v>86</v>
      </c>
      <c r="R11" s="78" t="s">
        <v>86</v>
      </c>
      <c r="S11" s="78"/>
      <c r="T11" s="78"/>
      <c r="U11" s="79" t="s">
        <v>88</v>
      </c>
      <c r="V11" s="78"/>
      <c r="W11" s="78"/>
      <c r="X11" s="78"/>
      <c r="Y11" s="78"/>
      <c r="Z11" s="78"/>
      <c r="AA11" s="80"/>
    </row>
    <row r="12">
      <c r="A12" s="73" t="s">
        <v>45</v>
      </c>
      <c r="B12" s="74"/>
      <c r="C12" s="74">
        <v>186.35</v>
      </c>
      <c r="D12" s="74">
        <v>181.14</v>
      </c>
      <c r="E12" s="74">
        <v>181.14</v>
      </c>
      <c r="F12" s="74">
        <v>181.14</v>
      </c>
      <c r="G12" s="75">
        <v>186.35</v>
      </c>
      <c r="H12" s="75">
        <v>186.41</v>
      </c>
      <c r="I12" s="75">
        <v>186.41</v>
      </c>
      <c r="J12" s="74"/>
      <c r="K12" s="74"/>
      <c r="L12" s="74"/>
      <c r="M12" s="74"/>
      <c r="N12" s="76"/>
      <c r="O12" s="68"/>
      <c r="P12" s="77" t="s">
        <v>86</v>
      </c>
      <c r="Q12" s="78" t="s">
        <v>86</v>
      </c>
      <c r="R12" s="79" t="s">
        <v>86</v>
      </c>
      <c r="S12" s="78" t="s">
        <v>86</v>
      </c>
      <c r="T12" s="79" t="s">
        <v>86</v>
      </c>
      <c r="U12" s="79" t="s">
        <v>86</v>
      </c>
      <c r="V12" s="78"/>
      <c r="W12" s="78"/>
      <c r="X12" s="78"/>
      <c r="Y12" s="78"/>
      <c r="Z12" s="78"/>
      <c r="AA12" s="80"/>
    </row>
    <row r="13">
      <c r="A13" s="73" t="s">
        <v>46</v>
      </c>
      <c r="B13" s="74"/>
      <c r="C13" s="74">
        <v>3283.0</v>
      </c>
      <c r="D13" s="74">
        <v>3800.0</v>
      </c>
      <c r="E13" s="74">
        <v>2500.0</v>
      </c>
      <c r="F13" s="74">
        <v>3560.0</v>
      </c>
      <c r="G13" s="74">
        <v>5025.0</v>
      </c>
      <c r="H13" s="75">
        <v>6025.0</v>
      </c>
      <c r="I13" s="75">
        <v>4455.79</v>
      </c>
      <c r="J13" s="74"/>
      <c r="K13" s="74"/>
      <c r="L13" s="74"/>
      <c r="M13" s="74"/>
      <c r="N13" s="76"/>
      <c r="O13" s="68"/>
      <c r="P13" s="77" t="s">
        <v>86</v>
      </c>
      <c r="Q13" s="78" t="s">
        <v>86</v>
      </c>
      <c r="R13" s="78" t="s">
        <v>86</v>
      </c>
      <c r="S13" s="78" t="s">
        <v>86</v>
      </c>
      <c r="T13" s="78" t="s">
        <v>86</v>
      </c>
      <c r="U13" s="79" t="s">
        <v>86</v>
      </c>
      <c r="V13" s="78"/>
      <c r="W13" s="78"/>
      <c r="X13" s="78"/>
      <c r="Y13" s="78"/>
      <c r="Z13" s="78"/>
      <c r="AA13" s="80"/>
    </row>
    <row r="14">
      <c r="A14" s="73" t="s">
        <v>47</v>
      </c>
      <c r="B14" s="74"/>
      <c r="C14" s="74">
        <v>550.0</v>
      </c>
      <c r="D14" s="74">
        <v>441.0</v>
      </c>
      <c r="E14" s="74">
        <v>441.0</v>
      </c>
      <c r="F14" s="74">
        <v>441.0</v>
      </c>
      <c r="G14" s="74">
        <v>441.0</v>
      </c>
      <c r="H14" s="83">
        <v>1300.0</v>
      </c>
      <c r="I14" s="75">
        <v>1300.0</v>
      </c>
      <c r="J14" s="74"/>
      <c r="K14" s="74"/>
      <c r="L14" s="74"/>
      <c r="M14" s="74"/>
      <c r="N14" s="76"/>
      <c r="O14" s="68"/>
      <c r="P14" s="82" t="s">
        <v>86</v>
      </c>
      <c r="Q14" s="79" t="s">
        <v>86</v>
      </c>
      <c r="R14" s="79" t="s">
        <v>86</v>
      </c>
      <c r="S14" s="79" t="s">
        <v>86</v>
      </c>
      <c r="T14" s="79" t="s">
        <v>86</v>
      </c>
      <c r="U14" s="79" t="s">
        <v>86</v>
      </c>
      <c r="V14" s="78"/>
      <c r="W14" s="78"/>
      <c r="X14" s="78"/>
      <c r="Y14" s="78"/>
      <c r="Z14" s="78"/>
      <c r="AA14" s="80"/>
    </row>
    <row r="15">
      <c r="A15" s="84" t="s">
        <v>50</v>
      </c>
      <c r="B15" s="85"/>
      <c r="C15" s="85"/>
      <c r="D15" s="85"/>
      <c r="E15" s="85"/>
      <c r="F15" s="85"/>
      <c r="G15" s="86">
        <v>1243.0</v>
      </c>
      <c r="H15" s="86">
        <v>1300.0</v>
      </c>
      <c r="I15" s="86">
        <v>1445.0</v>
      </c>
      <c r="J15" s="85"/>
      <c r="K15" s="85"/>
      <c r="L15" s="85"/>
      <c r="M15" s="85"/>
      <c r="N15" s="87"/>
      <c r="O15" s="68"/>
      <c r="P15" s="88"/>
      <c r="Q15" s="89"/>
      <c r="R15" s="89"/>
      <c r="S15" s="89"/>
      <c r="T15" s="90" t="s">
        <v>86</v>
      </c>
      <c r="U15" s="90" t="s">
        <v>86</v>
      </c>
      <c r="V15" s="89"/>
      <c r="W15" s="89"/>
      <c r="X15" s="89"/>
      <c r="Y15" s="89"/>
      <c r="Z15" s="89"/>
      <c r="AA15" s="91"/>
    </row>
    <row r="16">
      <c r="A16" s="92" t="s">
        <v>56</v>
      </c>
      <c r="B16" s="93"/>
      <c r="C16" s="85"/>
      <c r="D16" s="93"/>
      <c r="E16" s="93"/>
      <c r="F16" s="93"/>
      <c r="G16" s="94">
        <v>174.63</v>
      </c>
      <c r="H16" s="94">
        <v>174.63</v>
      </c>
      <c r="I16" s="93"/>
      <c r="J16" s="93"/>
      <c r="K16" s="93"/>
      <c r="L16" s="93"/>
      <c r="M16" s="93"/>
      <c r="N16" s="93"/>
      <c r="O16" s="68"/>
      <c r="P16" s="68"/>
      <c r="Q16" s="68"/>
      <c r="R16" s="68"/>
      <c r="S16" s="68"/>
      <c r="T16" s="95"/>
      <c r="U16" s="90"/>
      <c r="V16" s="68"/>
      <c r="W16" s="68"/>
      <c r="X16" s="68"/>
      <c r="Y16" s="68"/>
      <c r="Z16" s="68"/>
      <c r="AA16" s="68"/>
    </row>
    <row r="17">
      <c r="A17" s="95" t="s">
        <v>89</v>
      </c>
      <c r="B17" s="68"/>
      <c r="C17" s="96"/>
      <c r="D17" s="68"/>
      <c r="E17" s="68"/>
      <c r="F17" s="68"/>
      <c r="G17" s="97">
        <v>183.0</v>
      </c>
      <c r="H17" s="98">
        <v>183.0</v>
      </c>
      <c r="I17" s="99">
        <v>183.0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90"/>
      <c r="V17" s="68"/>
      <c r="W17" s="68"/>
      <c r="X17" s="68"/>
      <c r="Y17" s="68"/>
      <c r="Z17" s="68"/>
      <c r="AA17" s="68"/>
    </row>
    <row r="18">
      <c r="A18" s="68"/>
      <c r="B18" s="68"/>
      <c r="C18" s="100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ht="15.75" customHeight="1">
      <c r="A20" s="101" t="s">
        <v>90</v>
      </c>
      <c r="B20" s="102"/>
      <c r="C20" s="102" t="s">
        <v>11</v>
      </c>
      <c r="D20" s="102" t="s">
        <v>12</v>
      </c>
      <c r="E20" s="102" t="s">
        <v>13</v>
      </c>
      <c r="F20" s="102" t="s">
        <v>14</v>
      </c>
      <c r="G20" s="102" t="s">
        <v>15</v>
      </c>
      <c r="H20" s="102" t="s">
        <v>16</v>
      </c>
      <c r="I20" s="102" t="s">
        <v>17</v>
      </c>
      <c r="J20" s="102" t="s">
        <v>18</v>
      </c>
      <c r="K20" s="102" t="s">
        <v>19</v>
      </c>
      <c r="L20" s="102" t="s">
        <v>20</v>
      </c>
      <c r="M20" s="102" t="s">
        <v>21</v>
      </c>
      <c r="N20" s="103" t="s">
        <v>22</v>
      </c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ht="15.75" customHeight="1">
      <c r="A21" s="77" t="s">
        <v>91</v>
      </c>
      <c r="B21" s="78"/>
      <c r="C21" s="74">
        <f t="shared" ref="C21:N21" si="1">SUM(C4:C15)</f>
        <v>6107.71</v>
      </c>
      <c r="D21" s="74">
        <f t="shared" si="1"/>
        <v>7687.53</v>
      </c>
      <c r="E21" s="74">
        <f t="shared" si="1"/>
        <v>6652.15</v>
      </c>
      <c r="F21" s="74">
        <f t="shared" si="1"/>
        <v>6509.02</v>
      </c>
      <c r="G21" s="74">
        <f t="shared" si="1"/>
        <v>9230.47</v>
      </c>
      <c r="H21" s="74">
        <f t="shared" si="1"/>
        <v>11298.21</v>
      </c>
      <c r="I21" s="74">
        <f t="shared" si="1"/>
        <v>8874.12</v>
      </c>
      <c r="J21" s="74">
        <f t="shared" si="1"/>
        <v>0</v>
      </c>
      <c r="K21" s="74">
        <f t="shared" si="1"/>
        <v>0</v>
      </c>
      <c r="L21" s="74">
        <f t="shared" si="1"/>
        <v>0</v>
      </c>
      <c r="M21" s="74">
        <f t="shared" si="1"/>
        <v>0</v>
      </c>
      <c r="N21" s="76">
        <f t="shared" si="1"/>
        <v>0</v>
      </c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ht="15.75" customHeight="1">
      <c r="A22" s="104" t="s">
        <v>92</v>
      </c>
      <c r="B22" s="105"/>
      <c r="C22" s="106">
        <f t="shared" ref="C22:N22" si="2">SUMIFS(C4:C15,P4:P15,"Pago")</f>
        <v>6107.71</v>
      </c>
      <c r="D22" s="106">
        <f t="shared" si="2"/>
        <v>7687.53</v>
      </c>
      <c r="E22" s="106">
        <f t="shared" si="2"/>
        <v>6652.15</v>
      </c>
      <c r="F22" s="106">
        <f t="shared" si="2"/>
        <v>6509.02</v>
      </c>
      <c r="G22" s="106">
        <f t="shared" si="2"/>
        <v>9230.47</v>
      </c>
      <c r="H22" s="106">
        <f t="shared" si="2"/>
        <v>11298.21</v>
      </c>
      <c r="I22" s="106">
        <f t="shared" si="2"/>
        <v>0</v>
      </c>
      <c r="J22" s="106">
        <f t="shared" si="2"/>
        <v>0</v>
      </c>
      <c r="K22" s="106">
        <f t="shared" si="2"/>
        <v>0</v>
      </c>
      <c r="L22" s="106">
        <f t="shared" si="2"/>
        <v>0</v>
      </c>
      <c r="M22" s="106">
        <f t="shared" si="2"/>
        <v>0</v>
      </c>
      <c r="N22" s="107">
        <f t="shared" si="2"/>
        <v>0</v>
      </c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ht="15.75" customHeight="1">
      <c r="A23" s="108" t="s">
        <v>93</v>
      </c>
      <c r="B23" s="109"/>
      <c r="C23" s="110">
        <f t="shared" ref="C23:N23" si="3">C21-C22</f>
        <v>0</v>
      </c>
      <c r="D23" s="110">
        <f t="shared" si="3"/>
        <v>0</v>
      </c>
      <c r="E23" s="110">
        <f t="shared" si="3"/>
        <v>0</v>
      </c>
      <c r="F23" s="110">
        <f t="shared" si="3"/>
        <v>0</v>
      </c>
      <c r="G23" s="110">
        <f t="shared" si="3"/>
        <v>0</v>
      </c>
      <c r="H23" s="110">
        <f t="shared" si="3"/>
        <v>0</v>
      </c>
      <c r="I23" s="110">
        <f t="shared" si="3"/>
        <v>8874.12</v>
      </c>
      <c r="J23" s="110">
        <f t="shared" si="3"/>
        <v>0</v>
      </c>
      <c r="K23" s="110">
        <f t="shared" si="3"/>
        <v>0</v>
      </c>
      <c r="L23" s="110">
        <f t="shared" si="3"/>
        <v>0</v>
      </c>
      <c r="M23" s="110">
        <f t="shared" si="3"/>
        <v>0</v>
      </c>
      <c r="N23" s="111">
        <f t="shared" si="3"/>
        <v>0</v>
      </c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ht="15.75" customHeight="1">
      <c r="A24" s="88" t="s">
        <v>94</v>
      </c>
      <c r="B24" s="89"/>
      <c r="C24" s="112">
        <f t="shared" ref="C24:N24" si="4">IFERROR(C22/C21,0)</f>
        <v>1</v>
      </c>
      <c r="D24" s="112">
        <f t="shared" si="4"/>
        <v>1</v>
      </c>
      <c r="E24" s="112">
        <f t="shared" si="4"/>
        <v>1</v>
      </c>
      <c r="F24" s="112">
        <f t="shared" si="4"/>
        <v>1</v>
      </c>
      <c r="G24" s="112">
        <f t="shared" si="4"/>
        <v>1</v>
      </c>
      <c r="H24" s="112">
        <f t="shared" si="4"/>
        <v>1</v>
      </c>
      <c r="I24" s="112">
        <f t="shared" si="4"/>
        <v>0</v>
      </c>
      <c r="J24" s="112">
        <f t="shared" si="4"/>
        <v>0</v>
      </c>
      <c r="K24" s="112">
        <f t="shared" si="4"/>
        <v>0</v>
      </c>
      <c r="L24" s="112">
        <f t="shared" si="4"/>
        <v>0</v>
      </c>
      <c r="M24" s="112">
        <f t="shared" si="4"/>
        <v>0</v>
      </c>
      <c r="N24" s="113">
        <f t="shared" si="4"/>
        <v>0</v>
      </c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ht="15.75" customHeight="1">
      <c r="A28" s="101" t="s">
        <v>95</v>
      </c>
      <c r="B28" s="102" t="s">
        <v>8</v>
      </c>
      <c r="C28" s="102" t="s">
        <v>86</v>
      </c>
      <c r="D28" s="103" t="s">
        <v>96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ht="15.75" customHeight="1">
      <c r="A29" s="77" t="s">
        <v>11</v>
      </c>
      <c r="B29" s="74">
        <f>C21</f>
        <v>6107.71</v>
      </c>
      <c r="C29" s="74">
        <f>C22</f>
        <v>6107.71</v>
      </c>
      <c r="D29" s="76">
        <f>C23</f>
        <v>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ht="15.75" customHeight="1">
      <c r="A30" s="77" t="s">
        <v>12</v>
      </c>
      <c r="B30" s="74">
        <f>D21</f>
        <v>7687.53</v>
      </c>
      <c r="C30" s="74">
        <f>D22</f>
        <v>7687.53</v>
      </c>
      <c r="D30" s="76">
        <f>D23</f>
        <v>0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ht="15.75" customHeight="1">
      <c r="A31" s="77" t="s">
        <v>13</v>
      </c>
      <c r="B31" s="74">
        <f>E21</f>
        <v>6652.15</v>
      </c>
      <c r="C31" s="74">
        <f>E22</f>
        <v>6652.15</v>
      </c>
      <c r="D31" s="76">
        <f>E23</f>
        <v>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ht="15.75" customHeight="1">
      <c r="A32" s="77" t="s">
        <v>14</v>
      </c>
      <c r="B32" s="74">
        <f>F21</f>
        <v>6509.02</v>
      </c>
      <c r="C32" s="74">
        <f>F22</f>
        <v>6509.02</v>
      </c>
      <c r="D32" s="76">
        <f>F23</f>
        <v>0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ht="15.75" customHeight="1">
      <c r="A33" s="77" t="s">
        <v>15</v>
      </c>
      <c r="B33" s="74">
        <f>G21</f>
        <v>9230.47</v>
      </c>
      <c r="C33" s="74">
        <f>G22</f>
        <v>9230.47</v>
      </c>
      <c r="D33" s="76">
        <f>G23</f>
        <v>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ht="15.75" customHeight="1">
      <c r="A34" s="77" t="s">
        <v>16</v>
      </c>
      <c r="B34" s="74">
        <f>H21</f>
        <v>11298.21</v>
      </c>
      <c r="C34" s="74">
        <f>H22</f>
        <v>11298.21</v>
      </c>
      <c r="D34" s="76">
        <f>H23</f>
        <v>0</v>
      </c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ht="15.75" customHeight="1">
      <c r="A35" s="77" t="s">
        <v>17</v>
      </c>
      <c r="B35" s="74">
        <f>I21</f>
        <v>8874.12</v>
      </c>
      <c r="C35" s="74">
        <f>I22</f>
        <v>0</v>
      </c>
      <c r="D35" s="76">
        <f>I23</f>
        <v>8874.12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ht="15.75" customHeight="1">
      <c r="A36" s="77" t="s">
        <v>18</v>
      </c>
      <c r="B36" s="74">
        <f>J21</f>
        <v>0</v>
      </c>
      <c r="C36" s="74">
        <f>J22</f>
        <v>0</v>
      </c>
      <c r="D36" s="76">
        <f>J23</f>
        <v>0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ht="15.75" customHeight="1">
      <c r="A37" s="77" t="s">
        <v>19</v>
      </c>
      <c r="B37" s="74">
        <f>K21</f>
        <v>0</v>
      </c>
      <c r="C37" s="74">
        <f>K22</f>
        <v>0</v>
      </c>
      <c r="D37" s="76">
        <f>K23</f>
        <v>0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ht="15.75" customHeight="1">
      <c r="A38" s="77" t="s">
        <v>20</v>
      </c>
      <c r="B38" s="74">
        <f>L21</f>
        <v>0</v>
      </c>
      <c r="C38" s="74">
        <f>L22</f>
        <v>0</v>
      </c>
      <c r="D38" s="76">
        <f>L23</f>
        <v>0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ht="15.75" customHeight="1">
      <c r="A39" s="77" t="s">
        <v>21</v>
      </c>
      <c r="B39" s="74">
        <f>M21</f>
        <v>0</v>
      </c>
      <c r="C39" s="74">
        <f>M22</f>
        <v>0</v>
      </c>
      <c r="D39" s="76">
        <f>M23</f>
        <v>0</v>
      </c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ht="15.75" customHeight="1">
      <c r="A40" s="88" t="s">
        <v>22</v>
      </c>
      <c r="B40" s="85">
        <f>N21</f>
        <v>0</v>
      </c>
      <c r="C40" s="85">
        <f>N22</f>
        <v>0</v>
      </c>
      <c r="D40" s="87">
        <f>N23</f>
        <v>0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N1"/>
    <mergeCell ref="P1:AA1"/>
    <mergeCell ref="A2:N2"/>
    <mergeCell ref="P2:AA2"/>
  </mergeCells>
  <conditionalFormatting sqref="P4:T16 U4:U17 V4:AA16">
    <cfRule type="expression" dxfId="0" priority="1">
      <formula>P4="Pago"</formula>
    </cfRule>
  </conditionalFormatting>
  <conditionalFormatting sqref="P4:T16 U4:U17 V4:AA16">
    <cfRule type="expression" dxfId="1" priority="2">
      <formula>P4="Pendente"</formula>
    </cfRule>
  </conditionalFormatting>
  <conditionalFormatting sqref="C4:C17 D4:N16">
    <cfRule type="expression" dxfId="2" priority="3">
      <formula>INDEX($P4:$AA4,1,COLUMN()-COLUMN($C$4)+1)="Pago"</formula>
    </cfRule>
  </conditionalFormatting>
  <conditionalFormatting sqref="C4:C17 D4:N16">
    <cfRule type="expression" dxfId="1" priority="4">
      <formula>INDEX($P4:$AA4,1,COLUMN()-COLUMN($C$4)+1)="Pendente"</formula>
    </cfRule>
  </conditionalFormatting>
  <dataValidations>
    <dataValidation type="list" allowBlank="1" sqref="P4:AA16 U17">
      <formula1>"Pago,Pendente"</formula1>
    </dataValidation>
  </dataValidations>
  <printOptions/>
  <pageMargins bottom="0.75" footer="0.0" header="0.0" left="0.7" right="0.7" top="0.75"/>
  <pageSetup orientation="landscape"/>
  <drawing r:id="rId1"/>
</worksheet>
</file>